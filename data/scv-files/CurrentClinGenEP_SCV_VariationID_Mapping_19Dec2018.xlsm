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lbabb/Development/clingen/clinvar-submitter/"/>
    </mc:Choice>
  </mc:AlternateContent>
  <xr:revisionPtr revIDLastSave="0" documentId="8_{2B7D62F2-3AAB-3547-A637-629E1157D660}" xr6:coauthVersionLast="36" xr6:coauthVersionMax="36" xr10:uidLastSave="{00000000-0000-0000-0000-000000000000}"/>
  <bookViews>
    <workbookView xWindow="-31900" yWindow="760" windowWidth="28280" windowHeight="18580" activeTab="9" xr2:uid="{D8728741-272D-C445-954C-0717F1BC5689}"/>
  </bookViews>
  <sheets>
    <sheet name="READ.ME" sheetId="26" r:id="rId1"/>
    <sheet name="Master" sheetId="18" r:id="rId2"/>
    <sheet name="VCEP-Lookup" sheetId="19" r:id="rId3"/>
    <sheet name="VCEP-Reports" sheetId="25" r:id="rId4"/>
    <sheet name="Master-20181129" sheetId="1" r:id="rId5"/>
    <sheet name="PAH" sheetId="27" r:id="rId6"/>
    <sheet name="HL" sheetId="28" r:id="rId7"/>
    <sheet name="RAS" sheetId="22" r:id="rId8"/>
    <sheet name="PTEN" sheetId="29" r:id="rId9"/>
    <sheet name="CARDIO" sheetId="24" r:id="rId10"/>
  </sheets>
  <definedNames>
    <definedName name="_xlnm._FilterDatabase" localSheetId="1" hidden="1">Master!$A$1:$P$528</definedName>
    <definedName name="_xlnm._FilterDatabase" localSheetId="4" hidden="1">'Master-20181129'!$A$1:$M$515</definedName>
    <definedName name="_xlnm._FilterDatabase" localSheetId="3" hidden="1">'VCEP-Reports'!$A$1:$W$56</definedName>
    <definedName name="MasterLookup">Master!$B$2:$B$528</definedName>
    <definedName name="Source">'Master-20181129'!$A$2:$M$515</definedName>
    <definedName name="VCEPReports">'VCEP-Reports'!$A$2:$X$56</definedName>
    <definedName name="VCEPs">'VCEP-Lookup'!$A$1:$B$7</definedName>
  </definedNames>
  <calcPr calcId="181029"/>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7" i="25" l="1"/>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3" i="25" l="1"/>
  <c r="A4" i="25"/>
  <c r="A5" i="25"/>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2" i="25"/>
  <c r="A35" i="18"/>
  <c r="A36" i="18"/>
  <c r="A37" i="18"/>
  <c r="A38" i="18"/>
  <c r="A39" i="18"/>
  <c r="A40" i="18"/>
  <c r="A41" i="18"/>
  <c r="A42" i="18"/>
  <c r="A43" i="18"/>
  <c r="A44"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A72" i="18"/>
  <c r="A73" i="18"/>
  <c r="A74" i="18"/>
  <c r="B74" i="18" s="1"/>
  <c r="A75" i="18"/>
  <c r="A76" i="18"/>
  <c r="A77" i="18"/>
  <c r="A78" i="18"/>
  <c r="A79" i="18"/>
  <c r="A80" i="18"/>
  <c r="A81" i="18"/>
  <c r="A82" i="18"/>
  <c r="A83" i="18"/>
  <c r="A84" i="18"/>
  <c r="A85" i="18"/>
  <c r="A86" i="18"/>
  <c r="A87" i="18"/>
  <c r="A88" i="18"/>
  <c r="A89" i="18"/>
  <c r="A90" i="18"/>
  <c r="A91" i="18"/>
  <c r="A92" i="18"/>
  <c r="A93" i="18"/>
  <c r="A94" i="18"/>
  <c r="A95" i="18"/>
  <c r="A96" i="18"/>
  <c r="A97" i="18"/>
  <c r="A98" i="18"/>
  <c r="A99" i="18"/>
  <c r="A100" i="18"/>
  <c r="A101" i="18"/>
  <c r="A102" i="18"/>
  <c r="A103" i="18"/>
  <c r="A104" i="18"/>
  <c r="A105" i="18"/>
  <c r="A106" i="18"/>
  <c r="A107" i="18"/>
  <c r="A108" i="18"/>
  <c r="A109" i="18"/>
  <c r="A110" i="18"/>
  <c r="A111" i="18"/>
  <c r="A112" i="18"/>
  <c r="A113" i="18"/>
  <c r="A114" i="18"/>
  <c r="A115" i="18"/>
  <c r="A116" i="18"/>
  <c r="A117" i="18"/>
  <c r="A118" i="18"/>
  <c r="A119" i="18"/>
  <c r="A120" i="18"/>
  <c r="A121" i="18"/>
  <c r="A122" i="18"/>
  <c r="A123" i="18"/>
  <c r="A124" i="18"/>
  <c r="A125" i="18"/>
  <c r="A126" i="18"/>
  <c r="A127" i="18"/>
  <c r="A128" i="18"/>
  <c r="A129" i="18"/>
  <c r="A130" i="18"/>
  <c r="A131" i="18"/>
  <c r="A132" i="18"/>
  <c r="A133" i="18"/>
  <c r="A134" i="18"/>
  <c r="A135" i="18"/>
  <c r="A136" i="18"/>
  <c r="A137" i="18"/>
  <c r="A138" i="18"/>
  <c r="B138" i="18" s="1"/>
  <c r="A139" i="18"/>
  <c r="A140" i="18"/>
  <c r="A141" i="18"/>
  <c r="A142" i="18"/>
  <c r="A143" i="18"/>
  <c r="A144" i="18"/>
  <c r="A145" i="18"/>
  <c r="A146" i="18"/>
  <c r="A147" i="18"/>
  <c r="A148" i="18"/>
  <c r="A149" i="18"/>
  <c r="A150" i="18"/>
  <c r="A151" i="18"/>
  <c r="A152" i="18"/>
  <c r="A153" i="18"/>
  <c r="A154" i="18"/>
  <c r="A155" i="18"/>
  <c r="A156" i="18"/>
  <c r="A157" i="18"/>
  <c r="A158" i="18"/>
  <c r="A159" i="18"/>
  <c r="A160" i="18"/>
  <c r="A161" i="18"/>
  <c r="A162" i="18"/>
  <c r="A163" i="18"/>
  <c r="A164" i="18"/>
  <c r="A165" i="18"/>
  <c r="A166" i="18"/>
  <c r="A167" i="18"/>
  <c r="A168" i="18"/>
  <c r="A169" i="18"/>
  <c r="A170" i="18"/>
  <c r="A171" i="18"/>
  <c r="A172" i="18"/>
  <c r="A173" i="18"/>
  <c r="A174" i="18"/>
  <c r="A175" i="18"/>
  <c r="A176" i="18"/>
  <c r="A177" i="18"/>
  <c r="A178" i="18"/>
  <c r="A179" i="18"/>
  <c r="A180" i="18"/>
  <c r="A181" i="18"/>
  <c r="A182" i="18"/>
  <c r="A183" i="18"/>
  <c r="A184" i="18"/>
  <c r="A185" i="18"/>
  <c r="A186" i="18"/>
  <c r="A187" i="18"/>
  <c r="A188" i="18"/>
  <c r="A189" i="18"/>
  <c r="A190" i="18"/>
  <c r="A191" i="18"/>
  <c r="A192" i="18"/>
  <c r="A193" i="18"/>
  <c r="A194" i="18"/>
  <c r="A195" i="18"/>
  <c r="A196" i="18"/>
  <c r="A197" i="18"/>
  <c r="A198" i="18"/>
  <c r="A199" i="18"/>
  <c r="A200" i="18"/>
  <c r="A201" i="18"/>
  <c r="A202" i="18"/>
  <c r="B202" i="18" s="1"/>
  <c r="A203" i="18"/>
  <c r="A204" i="18"/>
  <c r="A205" i="18"/>
  <c r="A206" i="18"/>
  <c r="A207" i="18"/>
  <c r="A208" i="18"/>
  <c r="A209" i="18"/>
  <c r="A210" i="18"/>
  <c r="A211" i="18"/>
  <c r="A212" i="18"/>
  <c r="A213" i="18"/>
  <c r="A214" i="18"/>
  <c r="A215" i="18"/>
  <c r="A216" i="18"/>
  <c r="A217" i="18"/>
  <c r="A218" i="18"/>
  <c r="A219" i="18"/>
  <c r="A220" i="18"/>
  <c r="A221" i="18"/>
  <c r="A222" i="18"/>
  <c r="A223" i="18"/>
  <c r="A224" i="18"/>
  <c r="A225" i="18"/>
  <c r="A226" i="18"/>
  <c r="A227" i="18"/>
  <c r="A228" i="18"/>
  <c r="A229" i="18"/>
  <c r="A230" i="18"/>
  <c r="A231" i="18"/>
  <c r="A232" i="18"/>
  <c r="A233" i="18"/>
  <c r="A234" i="18"/>
  <c r="A235" i="18"/>
  <c r="A236" i="18"/>
  <c r="A237" i="18"/>
  <c r="A238" i="18"/>
  <c r="A239" i="18"/>
  <c r="A240" i="18"/>
  <c r="A241" i="18"/>
  <c r="A242" i="18"/>
  <c r="A243" i="18"/>
  <c r="A244" i="18"/>
  <c r="A245" i="18"/>
  <c r="A246" i="18"/>
  <c r="A247" i="18"/>
  <c r="A248" i="18"/>
  <c r="A249" i="18"/>
  <c r="A250" i="18"/>
  <c r="A251" i="18"/>
  <c r="A252" i="18"/>
  <c r="A253" i="18"/>
  <c r="A254" i="18"/>
  <c r="A255" i="18"/>
  <c r="A256" i="18"/>
  <c r="A257" i="18"/>
  <c r="A258" i="18"/>
  <c r="A259" i="18"/>
  <c r="A260" i="18"/>
  <c r="A261" i="18"/>
  <c r="A262" i="18"/>
  <c r="A263" i="18"/>
  <c r="A264" i="18"/>
  <c r="A265" i="18"/>
  <c r="A266" i="18"/>
  <c r="A267" i="18"/>
  <c r="A268" i="18"/>
  <c r="A269" i="18"/>
  <c r="A270" i="18"/>
  <c r="A271" i="18"/>
  <c r="A272" i="18"/>
  <c r="A273" i="18"/>
  <c r="A274" i="18"/>
  <c r="A275" i="18"/>
  <c r="A276" i="18"/>
  <c r="A277" i="18"/>
  <c r="A278" i="18"/>
  <c r="A279" i="18"/>
  <c r="A280" i="18"/>
  <c r="A281" i="18"/>
  <c r="A282" i="18"/>
  <c r="A283" i="18"/>
  <c r="A284" i="18"/>
  <c r="A285" i="18"/>
  <c r="A286" i="18"/>
  <c r="A287" i="18"/>
  <c r="A288" i="18"/>
  <c r="A289" i="18"/>
  <c r="A290" i="18"/>
  <c r="A291" i="18"/>
  <c r="A292" i="18"/>
  <c r="A293" i="18"/>
  <c r="A294" i="18"/>
  <c r="A295" i="18"/>
  <c r="A296" i="18"/>
  <c r="A297" i="18"/>
  <c r="A298" i="18"/>
  <c r="A299" i="18"/>
  <c r="A300" i="18"/>
  <c r="A301" i="18"/>
  <c r="A302" i="18"/>
  <c r="A303" i="18"/>
  <c r="A304" i="18"/>
  <c r="A305" i="18"/>
  <c r="A306" i="18"/>
  <c r="A307" i="18"/>
  <c r="A308" i="18"/>
  <c r="A309" i="18"/>
  <c r="A310" i="18"/>
  <c r="A311" i="18"/>
  <c r="A312" i="18"/>
  <c r="A313" i="18"/>
  <c r="A314" i="18"/>
  <c r="A315" i="18"/>
  <c r="A316" i="18"/>
  <c r="A317" i="18"/>
  <c r="A318" i="18"/>
  <c r="A319" i="18"/>
  <c r="A320" i="18"/>
  <c r="A321" i="18"/>
  <c r="A322" i="18"/>
  <c r="A323" i="18"/>
  <c r="A324" i="18"/>
  <c r="A325" i="18"/>
  <c r="A326" i="18"/>
  <c r="A327" i="18"/>
  <c r="A328" i="18"/>
  <c r="A329" i="18"/>
  <c r="A330" i="18"/>
  <c r="A331" i="18"/>
  <c r="A332" i="18"/>
  <c r="A333" i="18"/>
  <c r="A334" i="18"/>
  <c r="A335" i="18"/>
  <c r="A336" i="18"/>
  <c r="A337" i="18"/>
  <c r="A338" i="18"/>
  <c r="A339" i="18"/>
  <c r="A340" i="18"/>
  <c r="A341" i="18"/>
  <c r="A342" i="18"/>
  <c r="A343" i="18"/>
  <c r="A344" i="18"/>
  <c r="A345" i="18"/>
  <c r="A346" i="18"/>
  <c r="A347" i="18"/>
  <c r="A348" i="18"/>
  <c r="A349" i="18"/>
  <c r="A350" i="18"/>
  <c r="A351" i="18"/>
  <c r="A352" i="18"/>
  <c r="A353" i="18"/>
  <c r="A354" i="18"/>
  <c r="A355" i="18"/>
  <c r="A356" i="18"/>
  <c r="A357" i="18"/>
  <c r="A358" i="18"/>
  <c r="A359" i="18"/>
  <c r="A360" i="18"/>
  <c r="A361" i="18"/>
  <c r="A362" i="18"/>
  <c r="A363" i="18"/>
  <c r="A364" i="18"/>
  <c r="A365" i="18"/>
  <c r="A366" i="18"/>
  <c r="A367" i="18"/>
  <c r="A368" i="18"/>
  <c r="A369" i="18"/>
  <c r="A370" i="18"/>
  <c r="A371" i="18"/>
  <c r="A372" i="18"/>
  <c r="A373" i="18"/>
  <c r="A374" i="18"/>
  <c r="A375" i="18"/>
  <c r="A376" i="18"/>
  <c r="A377" i="18"/>
  <c r="A378" i="18"/>
  <c r="A379" i="18"/>
  <c r="A380" i="18"/>
  <c r="A381" i="18"/>
  <c r="A382" i="18"/>
  <c r="A383" i="18"/>
  <c r="A384" i="18"/>
  <c r="A385" i="18"/>
  <c r="A386" i="18"/>
  <c r="A387" i="18"/>
  <c r="A388" i="18"/>
  <c r="A389" i="18"/>
  <c r="A390" i="18"/>
  <c r="A391" i="18"/>
  <c r="A392" i="18"/>
  <c r="A393" i="18"/>
  <c r="A394" i="18"/>
  <c r="A395" i="18"/>
  <c r="A396" i="18"/>
  <c r="A397" i="18"/>
  <c r="A398" i="18"/>
  <c r="A399" i="18"/>
  <c r="A400" i="18"/>
  <c r="A401" i="18"/>
  <c r="A402" i="18"/>
  <c r="A403" i="18"/>
  <c r="A404" i="18"/>
  <c r="A405" i="18"/>
  <c r="A406" i="18"/>
  <c r="A407" i="18"/>
  <c r="A408" i="18"/>
  <c r="A409" i="18"/>
  <c r="A410" i="18"/>
  <c r="A411" i="18"/>
  <c r="A412" i="18"/>
  <c r="A413" i="18"/>
  <c r="A414" i="18"/>
  <c r="A415" i="18"/>
  <c r="A416" i="18"/>
  <c r="A417" i="18"/>
  <c r="A418" i="18"/>
  <c r="A419" i="18"/>
  <c r="A420" i="18"/>
  <c r="A421" i="18"/>
  <c r="A422" i="18"/>
  <c r="A423" i="18"/>
  <c r="A424" i="18"/>
  <c r="A425" i="18"/>
  <c r="A426" i="18"/>
  <c r="A427" i="18"/>
  <c r="A428" i="18"/>
  <c r="A429" i="18"/>
  <c r="A430" i="18"/>
  <c r="A431" i="18"/>
  <c r="A432" i="18"/>
  <c r="A433" i="18"/>
  <c r="A434" i="18"/>
  <c r="A435" i="18"/>
  <c r="A436" i="18"/>
  <c r="A437" i="18"/>
  <c r="A438" i="18"/>
  <c r="A439" i="18"/>
  <c r="A440" i="18"/>
  <c r="A441" i="18"/>
  <c r="A442" i="18"/>
  <c r="A443" i="18"/>
  <c r="A444" i="18"/>
  <c r="A445" i="18"/>
  <c r="A446" i="18"/>
  <c r="A447" i="18"/>
  <c r="A448" i="18"/>
  <c r="A449" i="18"/>
  <c r="A450" i="18"/>
  <c r="A451" i="18"/>
  <c r="A452" i="18"/>
  <c r="A453" i="18"/>
  <c r="A454" i="18"/>
  <c r="A455" i="18"/>
  <c r="A456" i="18"/>
  <c r="A457" i="18"/>
  <c r="A458" i="18"/>
  <c r="A459" i="18"/>
  <c r="A460" i="18"/>
  <c r="A461" i="18"/>
  <c r="A462" i="18"/>
  <c r="A463" i="18"/>
  <c r="A464" i="18"/>
  <c r="A465" i="18"/>
  <c r="A466" i="18"/>
  <c r="A467" i="18"/>
  <c r="A468" i="18"/>
  <c r="A469" i="18"/>
  <c r="A470" i="18"/>
  <c r="A471" i="18"/>
  <c r="A472" i="18"/>
  <c r="A473" i="18"/>
  <c r="A474" i="18"/>
  <c r="A475" i="18"/>
  <c r="A476" i="18"/>
  <c r="A477" i="18"/>
  <c r="A478" i="18"/>
  <c r="A479" i="18"/>
  <c r="A480" i="18"/>
  <c r="A481" i="18"/>
  <c r="A482" i="18"/>
  <c r="A483" i="18"/>
  <c r="A484" i="18"/>
  <c r="A485" i="18"/>
  <c r="A486" i="18"/>
  <c r="A487" i="18"/>
  <c r="A488" i="18"/>
  <c r="A489" i="18"/>
  <c r="A490" i="18"/>
  <c r="A491" i="18"/>
  <c r="A492" i="18"/>
  <c r="A493" i="18"/>
  <c r="A494" i="18"/>
  <c r="A495" i="18"/>
  <c r="A496" i="18"/>
  <c r="A497" i="18"/>
  <c r="A498" i="18"/>
  <c r="A499" i="18"/>
  <c r="A500" i="18"/>
  <c r="A501" i="18"/>
  <c r="A502" i="18"/>
  <c r="A503" i="18"/>
  <c r="A504" i="18"/>
  <c r="A505" i="18"/>
  <c r="A506" i="18"/>
  <c r="A507" i="18"/>
  <c r="A508" i="18"/>
  <c r="A509" i="18"/>
  <c r="A510" i="18"/>
  <c r="A511" i="18"/>
  <c r="A512" i="18"/>
  <c r="A513" i="18"/>
  <c r="A514" i="18"/>
  <c r="A515" i="18"/>
  <c r="A516" i="18"/>
  <c r="A517" i="18"/>
  <c r="A518" i="18"/>
  <c r="A519" i="18"/>
  <c r="A520" i="18"/>
  <c r="A521" i="18"/>
  <c r="A522" i="18"/>
  <c r="B522" i="18" s="1"/>
  <c r="A523" i="18"/>
  <c r="A524" i="18"/>
  <c r="A525" i="18"/>
  <c r="A526" i="18"/>
  <c r="A527" i="18"/>
  <c r="A528" i="18"/>
  <c r="A3" i="18"/>
  <c r="A4" i="18"/>
  <c r="A5" i="18"/>
  <c r="A6" i="18"/>
  <c r="A7" i="18"/>
  <c r="A8" i="18"/>
  <c r="A9" i="18"/>
  <c r="A10" i="18"/>
  <c r="B10" i="18" s="1"/>
  <c r="A11" i="18"/>
  <c r="A12" i="18"/>
  <c r="A13" i="18"/>
  <c r="A14" i="18"/>
  <c r="A15" i="18"/>
  <c r="A16" i="18"/>
  <c r="A17" i="18"/>
  <c r="A18" i="18"/>
  <c r="A19" i="18"/>
  <c r="A20" i="18"/>
  <c r="A21" i="18"/>
  <c r="A22" i="18"/>
  <c r="A23" i="18"/>
  <c r="A24" i="18"/>
  <c r="A25" i="18"/>
  <c r="A26" i="18"/>
  <c r="A27" i="18"/>
  <c r="A28" i="18"/>
  <c r="A29" i="18"/>
  <c r="A30" i="18"/>
  <c r="A31" i="18"/>
  <c r="A32" i="18"/>
  <c r="A33" i="18"/>
  <c r="A34" i="18"/>
  <c r="A2" i="18"/>
  <c r="C41" i="18" l="1"/>
  <c r="C49" i="18"/>
  <c r="C57" i="18"/>
  <c r="C65" i="18"/>
  <c r="C73" i="18"/>
  <c r="C81" i="18"/>
  <c r="C89" i="18"/>
  <c r="C97" i="18"/>
  <c r="C105" i="18"/>
  <c r="C113" i="18"/>
  <c r="C121" i="18"/>
  <c r="C129" i="18"/>
  <c r="C137" i="18"/>
  <c r="C145" i="18"/>
  <c r="C153" i="18"/>
  <c r="C161" i="18"/>
  <c r="C169" i="18"/>
  <c r="C177" i="18"/>
  <c r="C185" i="18"/>
  <c r="C193" i="18"/>
  <c r="C201" i="18"/>
  <c r="C209" i="18"/>
  <c r="C217" i="18"/>
  <c r="C225" i="18"/>
  <c r="C233" i="18"/>
  <c r="C241" i="18"/>
  <c r="C249" i="18"/>
  <c r="C257" i="18"/>
  <c r="C265" i="18"/>
  <c r="C273" i="18"/>
  <c r="C281" i="18"/>
  <c r="C289" i="18"/>
  <c r="C297" i="18"/>
  <c r="C305" i="18"/>
  <c r="C313" i="18"/>
  <c r="C321" i="18"/>
  <c r="C329" i="18"/>
  <c r="C337" i="18"/>
  <c r="C345" i="18"/>
  <c r="C353" i="18"/>
  <c r="C361" i="18"/>
  <c r="C369" i="18"/>
  <c r="C377" i="18"/>
  <c r="C385" i="18"/>
  <c r="C393" i="18"/>
  <c r="C401" i="18"/>
  <c r="C409" i="18"/>
  <c r="C417" i="18"/>
  <c r="C425" i="18"/>
  <c r="C433" i="18"/>
  <c r="C441" i="18"/>
  <c r="C449" i="18"/>
  <c r="C457" i="18"/>
  <c r="C465" i="18"/>
  <c r="C473" i="18"/>
  <c r="C481" i="18"/>
  <c r="C489" i="18"/>
  <c r="C497" i="18"/>
  <c r="C505" i="18"/>
  <c r="C513" i="18"/>
  <c r="C521" i="18"/>
  <c r="C3" i="18"/>
  <c r="C11" i="18"/>
  <c r="C19" i="18"/>
  <c r="C27" i="18"/>
  <c r="C35" i="18"/>
  <c r="C42" i="18"/>
  <c r="C50" i="18"/>
  <c r="C58" i="18"/>
  <c r="C66" i="18"/>
  <c r="C74" i="18"/>
  <c r="C82" i="18"/>
  <c r="C90" i="18"/>
  <c r="C98" i="18"/>
  <c r="C106" i="18"/>
  <c r="C114" i="18"/>
  <c r="C122" i="18"/>
  <c r="C130" i="18"/>
  <c r="C138" i="18"/>
  <c r="C146" i="18"/>
  <c r="C154" i="18"/>
  <c r="C162" i="18"/>
  <c r="C170" i="18"/>
  <c r="C178" i="18"/>
  <c r="C186" i="18"/>
  <c r="C194" i="18"/>
  <c r="C202" i="18"/>
  <c r="C210" i="18"/>
  <c r="C218" i="18"/>
  <c r="C226" i="18"/>
  <c r="C234" i="18"/>
  <c r="C242" i="18"/>
  <c r="C250" i="18"/>
  <c r="C258" i="18"/>
  <c r="C266" i="18"/>
  <c r="C274" i="18"/>
  <c r="C282" i="18"/>
  <c r="C290" i="18"/>
  <c r="C298" i="18"/>
  <c r="C306" i="18"/>
  <c r="C314" i="18"/>
  <c r="C322" i="18"/>
  <c r="C330" i="18"/>
  <c r="C338" i="18"/>
  <c r="C346" i="18"/>
  <c r="C354" i="18"/>
  <c r="C362" i="18"/>
  <c r="C370" i="18"/>
  <c r="C378" i="18"/>
  <c r="C386" i="18"/>
  <c r="C394" i="18"/>
  <c r="C402" i="18"/>
  <c r="C410" i="18"/>
  <c r="C418" i="18"/>
  <c r="C426" i="18"/>
  <c r="C434" i="18"/>
  <c r="C442" i="18"/>
  <c r="C450" i="18"/>
  <c r="C458" i="18"/>
  <c r="C466" i="18"/>
  <c r="C474" i="18"/>
  <c r="C482" i="18"/>
  <c r="C490" i="18"/>
  <c r="C498" i="18"/>
  <c r="C506" i="18"/>
  <c r="C514" i="18"/>
  <c r="C522" i="18"/>
  <c r="C4" i="18"/>
  <c r="C12" i="18"/>
  <c r="C20" i="18"/>
  <c r="C28" i="18"/>
  <c r="C36" i="18"/>
  <c r="C43" i="18"/>
  <c r="C51" i="18"/>
  <c r="C59" i="18"/>
  <c r="C67" i="18"/>
  <c r="C75" i="18"/>
  <c r="C83" i="18"/>
  <c r="C91" i="18"/>
  <c r="C99" i="18"/>
  <c r="C107" i="18"/>
  <c r="C115" i="18"/>
  <c r="C123" i="18"/>
  <c r="C131" i="18"/>
  <c r="C139" i="18"/>
  <c r="C147" i="18"/>
  <c r="C155" i="18"/>
  <c r="C163" i="18"/>
  <c r="C171" i="18"/>
  <c r="C179" i="18"/>
  <c r="C187" i="18"/>
  <c r="C195" i="18"/>
  <c r="C203" i="18"/>
  <c r="C211" i="18"/>
  <c r="C219" i="18"/>
  <c r="C227" i="18"/>
  <c r="C235" i="18"/>
  <c r="C243" i="18"/>
  <c r="C251" i="18"/>
  <c r="C259" i="18"/>
  <c r="C267" i="18"/>
  <c r="C275" i="18"/>
  <c r="C283" i="18"/>
  <c r="C291" i="18"/>
  <c r="C299" i="18"/>
  <c r="C307" i="18"/>
  <c r="C315" i="18"/>
  <c r="C323" i="18"/>
  <c r="C331" i="18"/>
  <c r="C339" i="18"/>
  <c r="C347" i="18"/>
  <c r="C355" i="18"/>
  <c r="C363" i="18"/>
  <c r="C371" i="18"/>
  <c r="C379" i="18"/>
  <c r="C387" i="18"/>
  <c r="C395" i="18"/>
  <c r="C403" i="18"/>
  <c r="C411" i="18"/>
  <c r="C419" i="18"/>
  <c r="C427" i="18"/>
  <c r="C435" i="18"/>
  <c r="C443" i="18"/>
  <c r="C451" i="18"/>
  <c r="C459" i="18"/>
  <c r="C467" i="18"/>
  <c r="C475" i="18"/>
  <c r="C483" i="18"/>
  <c r="C491" i="18"/>
  <c r="C499" i="18"/>
  <c r="C507" i="18"/>
  <c r="C515" i="18"/>
  <c r="C523" i="18"/>
  <c r="C5" i="18"/>
  <c r="C13" i="18"/>
  <c r="C21" i="18"/>
  <c r="C29" i="18"/>
  <c r="C37" i="18"/>
  <c r="C44" i="18"/>
  <c r="C52" i="18"/>
  <c r="C60" i="18"/>
  <c r="C68" i="18"/>
  <c r="C76" i="18"/>
  <c r="C84" i="18"/>
  <c r="C92" i="18"/>
  <c r="C100" i="18"/>
  <c r="C108" i="18"/>
  <c r="C116" i="18"/>
  <c r="C124" i="18"/>
  <c r="C132" i="18"/>
  <c r="C140" i="18"/>
  <c r="C148" i="18"/>
  <c r="C156" i="18"/>
  <c r="C164" i="18"/>
  <c r="C172" i="18"/>
  <c r="C180" i="18"/>
  <c r="C188" i="18"/>
  <c r="C196" i="18"/>
  <c r="C204" i="18"/>
  <c r="C212" i="18"/>
  <c r="C220" i="18"/>
  <c r="C228" i="18"/>
  <c r="C236" i="18"/>
  <c r="C244" i="18"/>
  <c r="C252" i="18"/>
  <c r="C260" i="18"/>
  <c r="C268" i="18"/>
  <c r="C276" i="18"/>
  <c r="C284" i="18"/>
  <c r="C292" i="18"/>
  <c r="C300" i="18"/>
  <c r="C308" i="18"/>
  <c r="C316" i="18"/>
  <c r="C324" i="18"/>
  <c r="C332" i="18"/>
  <c r="C340" i="18"/>
  <c r="C348" i="18"/>
  <c r="C356" i="18"/>
  <c r="C364" i="18"/>
  <c r="C372" i="18"/>
  <c r="C380" i="18"/>
  <c r="C388" i="18"/>
  <c r="C396" i="18"/>
  <c r="C404" i="18"/>
  <c r="C412" i="18"/>
  <c r="C420" i="18"/>
  <c r="C428" i="18"/>
  <c r="C436" i="18"/>
  <c r="C444" i="18"/>
  <c r="C452" i="18"/>
  <c r="C460" i="18"/>
  <c r="C468" i="18"/>
  <c r="C476" i="18"/>
  <c r="C484" i="18"/>
  <c r="C492" i="18"/>
  <c r="C500" i="18"/>
  <c r="C508" i="18"/>
  <c r="C516" i="18"/>
  <c r="C524" i="18"/>
  <c r="C6" i="18"/>
  <c r="C14" i="18"/>
  <c r="C22" i="18"/>
  <c r="C30" i="18"/>
  <c r="C38" i="18"/>
  <c r="C45" i="18"/>
  <c r="C53" i="18"/>
  <c r="C61" i="18"/>
  <c r="C69" i="18"/>
  <c r="C77" i="18"/>
  <c r="C85" i="18"/>
  <c r="C93" i="18"/>
  <c r="C101" i="18"/>
  <c r="C109" i="18"/>
  <c r="C117" i="18"/>
  <c r="C125" i="18"/>
  <c r="C133" i="18"/>
  <c r="C141" i="18"/>
  <c r="C149" i="18"/>
  <c r="C157" i="18"/>
  <c r="C165" i="18"/>
  <c r="C173" i="18"/>
  <c r="C181" i="18"/>
  <c r="C189" i="18"/>
  <c r="C197" i="18"/>
  <c r="C205" i="18"/>
  <c r="C213" i="18"/>
  <c r="C221" i="18"/>
  <c r="C229" i="18"/>
  <c r="C237" i="18"/>
  <c r="C245" i="18"/>
  <c r="C253" i="18"/>
  <c r="C261" i="18"/>
  <c r="C269" i="18"/>
  <c r="C277" i="18"/>
  <c r="C285" i="18"/>
  <c r="C293" i="18"/>
  <c r="C301" i="18"/>
  <c r="C309" i="18"/>
  <c r="C317" i="18"/>
  <c r="C325" i="18"/>
  <c r="C333" i="18"/>
  <c r="C341" i="18"/>
  <c r="C349" i="18"/>
  <c r="C357" i="18"/>
  <c r="C365" i="18"/>
  <c r="C373" i="18"/>
  <c r="C381" i="18"/>
  <c r="C389" i="18"/>
  <c r="C397" i="18"/>
  <c r="C405" i="18"/>
  <c r="C413" i="18"/>
  <c r="C421" i="18"/>
  <c r="C429" i="18"/>
  <c r="C437" i="18"/>
  <c r="C445" i="18"/>
  <c r="C453" i="18"/>
  <c r="C461" i="18"/>
  <c r="C469" i="18"/>
  <c r="C477" i="18"/>
  <c r="C485" i="18"/>
  <c r="C493" i="18"/>
  <c r="C501" i="18"/>
  <c r="C509" i="18"/>
  <c r="C517" i="18"/>
  <c r="C525" i="18"/>
  <c r="C7" i="18"/>
  <c r="C15" i="18"/>
  <c r="C23" i="18"/>
  <c r="C31" i="18"/>
  <c r="C39" i="18"/>
  <c r="C46" i="18"/>
  <c r="C54" i="18"/>
  <c r="C62" i="18"/>
  <c r="C70" i="18"/>
  <c r="C78" i="18"/>
  <c r="C86" i="18"/>
  <c r="C94" i="18"/>
  <c r="C102" i="18"/>
  <c r="C110" i="18"/>
  <c r="C118" i="18"/>
  <c r="C126" i="18"/>
  <c r="C134" i="18"/>
  <c r="C142" i="18"/>
  <c r="C150" i="18"/>
  <c r="C158" i="18"/>
  <c r="C166" i="18"/>
  <c r="C174" i="18"/>
  <c r="C182" i="18"/>
  <c r="C190" i="18"/>
  <c r="C198" i="18"/>
  <c r="C206" i="18"/>
  <c r="C214" i="18"/>
  <c r="C222" i="18"/>
  <c r="C230" i="18"/>
  <c r="C238" i="18"/>
  <c r="C246" i="18"/>
  <c r="C254" i="18"/>
  <c r="C262" i="18"/>
  <c r="C270" i="18"/>
  <c r="C278" i="18"/>
  <c r="C286" i="18"/>
  <c r="C294" i="18"/>
  <c r="C302" i="18"/>
  <c r="C310" i="18"/>
  <c r="C318" i="18"/>
  <c r="C326" i="18"/>
  <c r="C334" i="18"/>
  <c r="C342" i="18"/>
  <c r="C350" i="18"/>
  <c r="C358" i="18"/>
  <c r="C366" i="18"/>
  <c r="C374" i="18"/>
  <c r="C382" i="18"/>
  <c r="C390" i="18"/>
  <c r="C398" i="18"/>
  <c r="C406" i="18"/>
  <c r="C414" i="18"/>
  <c r="C422" i="18"/>
  <c r="C430" i="18"/>
  <c r="C438" i="18"/>
  <c r="C446" i="18"/>
  <c r="C454" i="18"/>
  <c r="C462" i="18"/>
  <c r="C470" i="18"/>
  <c r="C478" i="18"/>
  <c r="C486" i="18"/>
  <c r="C494" i="18"/>
  <c r="C502" i="18"/>
  <c r="C510" i="18"/>
  <c r="C518" i="18"/>
  <c r="C526" i="18"/>
  <c r="C8" i="18"/>
  <c r="C16" i="18"/>
  <c r="C24" i="18"/>
  <c r="C32" i="18"/>
  <c r="C2" i="18"/>
  <c r="C47" i="18"/>
  <c r="C55" i="18"/>
  <c r="C63" i="18"/>
  <c r="C71" i="18"/>
  <c r="C79" i="18"/>
  <c r="C56" i="18"/>
  <c r="C103" i="18"/>
  <c r="C135" i="18"/>
  <c r="C167" i="18"/>
  <c r="C199" i="18"/>
  <c r="C231" i="18"/>
  <c r="C263" i="18"/>
  <c r="C295" i="18"/>
  <c r="C327" i="18"/>
  <c r="C359" i="18"/>
  <c r="C391" i="18"/>
  <c r="C423" i="18"/>
  <c r="C455" i="18"/>
  <c r="C487" i="18"/>
  <c r="C519" i="18"/>
  <c r="C25" i="18"/>
  <c r="C343" i="18"/>
  <c r="C503" i="18"/>
  <c r="C120" i="18"/>
  <c r="C312" i="18"/>
  <c r="C472" i="18"/>
  <c r="C191" i="18"/>
  <c r="C351" i="18"/>
  <c r="C48" i="18"/>
  <c r="C256" i="18"/>
  <c r="C480" i="18"/>
  <c r="C64" i="18"/>
  <c r="C104" i="18"/>
  <c r="C136" i="18"/>
  <c r="C168" i="18"/>
  <c r="C200" i="18"/>
  <c r="C232" i="18"/>
  <c r="C264" i="18"/>
  <c r="C296" i="18"/>
  <c r="C328" i="18"/>
  <c r="C360" i="18"/>
  <c r="C392" i="18"/>
  <c r="C424" i="18"/>
  <c r="C456" i="18"/>
  <c r="C488" i="18"/>
  <c r="C520" i="18"/>
  <c r="C26" i="18"/>
  <c r="C527" i="18"/>
  <c r="C87" i="18"/>
  <c r="C279" i="18"/>
  <c r="C439" i="18"/>
  <c r="C152" i="18"/>
  <c r="C248" i="18"/>
  <c r="C408" i="18"/>
  <c r="C40" i="18"/>
  <c r="C287" i="18"/>
  <c r="C447" i="18"/>
  <c r="C160" i="18"/>
  <c r="C352" i="18"/>
  <c r="C512" i="18"/>
  <c r="C72" i="18"/>
  <c r="C111" i="18"/>
  <c r="C143" i="18"/>
  <c r="C175" i="18"/>
  <c r="C207" i="18"/>
  <c r="C239" i="18"/>
  <c r="C271" i="18"/>
  <c r="C303" i="18"/>
  <c r="C335" i="18"/>
  <c r="C367" i="18"/>
  <c r="C399" i="18"/>
  <c r="C431" i="18"/>
  <c r="C463" i="18"/>
  <c r="C495" i="18"/>
  <c r="C33" i="18"/>
  <c r="C151" i="18"/>
  <c r="C215" i="18"/>
  <c r="C407" i="18"/>
  <c r="C9" i="18"/>
  <c r="C184" i="18"/>
  <c r="C344" i="18"/>
  <c r="C440" i="18"/>
  <c r="C95" i="18"/>
  <c r="C319" i="18"/>
  <c r="C479" i="18"/>
  <c r="C128" i="18"/>
  <c r="C384" i="18"/>
  <c r="C18" i="18"/>
  <c r="C80" i="18"/>
  <c r="C112" i="18"/>
  <c r="C144" i="18"/>
  <c r="C176" i="18"/>
  <c r="C208" i="18"/>
  <c r="C240" i="18"/>
  <c r="C272" i="18"/>
  <c r="C304" i="18"/>
  <c r="C336" i="18"/>
  <c r="C368" i="18"/>
  <c r="C400" i="18"/>
  <c r="C432" i="18"/>
  <c r="C464" i="18"/>
  <c r="C496" i="18"/>
  <c r="C528" i="18"/>
  <c r="C34" i="18"/>
  <c r="C119" i="18"/>
  <c r="C183" i="18"/>
  <c r="C247" i="18"/>
  <c r="C375" i="18"/>
  <c r="C471" i="18"/>
  <c r="C88" i="18"/>
  <c r="C216" i="18"/>
  <c r="C280" i="18"/>
  <c r="C376" i="18"/>
  <c r="C10" i="18"/>
  <c r="C127" i="18"/>
  <c r="C223" i="18"/>
  <c r="C383" i="18"/>
  <c r="C511" i="18"/>
  <c r="C96" i="18"/>
  <c r="C224" i="18"/>
  <c r="C288" i="18"/>
  <c r="C416" i="18"/>
  <c r="C311" i="18"/>
  <c r="C504" i="18"/>
  <c r="C159" i="18"/>
  <c r="C255" i="18"/>
  <c r="C415" i="18"/>
  <c r="C17" i="18"/>
  <c r="C192" i="18"/>
  <c r="C320" i="18"/>
  <c r="C448" i="18"/>
  <c r="B354" i="18"/>
  <c r="B290" i="18"/>
  <c r="B226" i="18"/>
  <c r="B162" i="18"/>
  <c r="B154" i="18"/>
  <c r="B98" i="18"/>
  <c r="B482" i="18"/>
  <c r="B90" i="18"/>
  <c r="B418" i="18"/>
  <c r="B82" i="18"/>
  <c r="B474" i="18"/>
  <c r="B410" i="18"/>
  <c r="B346" i="18"/>
  <c r="B282" i="18"/>
  <c r="B218" i="18"/>
  <c r="B466" i="18"/>
  <c r="B402" i="18"/>
  <c r="B338" i="18"/>
  <c r="B274" i="18"/>
  <c r="B210" i="18"/>
  <c r="B146" i="18"/>
  <c r="B458" i="18"/>
  <c r="B394" i="18"/>
  <c r="B330" i="18"/>
  <c r="B266" i="18"/>
  <c r="B514" i="18"/>
  <c r="B450" i="18"/>
  <c r="B386" i="18"/>
  <c r="B322" i="18"/>
  <c r="B258" i="18"/>
  <c r="B194" i="18"/>
  <c r="B130" i="18"/>
  <c r="B66" i="18"/>
  <c r="B506" i="18"/>
  <c r="B442" i="18"/>
  <c r="B378" i="18"/>
  <c r="B314" i="18"/>
  <c r="B250" i="18"/>
  <c r="B186" i="18"/>
  <c r="B122" i="18"/>
  <c r="B58" i="18"/>
  <c r="B498" i="18"/>
  <c r="B434" i="18"/>
  <c r="B370" i="18"/>
  <c r="B306" i="18"/>
  <c r="B242" i="18"/>
  <c r="B178" i="18"/>
  <c r="B114" i="18"/>
  <c r="B50" i="18"/>
  <c r="B490" i="18"/>
  <c r="B426" i="18"/>
  <c r="B362" i="18"/>
  <c r="B298" i="18"/>
  <c r="B234" i="18"/>
  <c r="B170" i="18"/>
  <c r="B106" i="18"/>
  <c r="B42" i="18"/>
  <c r="B34" i="18"/>
  <c r="B26" i="18"/>
  <c r="B18" i="18"/>
  <c r="B2" i="18"/>
  <c r="B521" i="18"/>
  <c r="B513" i="18"/>
  <c r="B505" i="18"/>
  <c r="B497" i="18"/>
  <c r="B489" i="18"/>
  <c r="B481" i="18"/>
  <c r="B473" i="18"/>
  <c r="B465" i="18"/>
  <c r="B457" i="18"/>
  <c r="B449" i="18"/>
  <c r="B441" i="18"/>
  <c r="B433" i="18"/>
  <c r="B425" i="18"/>
  <c r="B417" i="18"/>
  <c r="B409" i="18"/>
  <c r="B401" i="18"/>
  <c r="B393" i="18"/>
  <c r="B385" i="18"/>
  <c r="B377" i="18"/>
  <c r="B369" i="18"/>
  <c r="B361" i="18"/>
  <c r="B353" i="18"/>
  <c r="B345" i="18"/>
  <c r="B337" i="18"/>
  <c r="B329" i="18"/>
  <c r="B321" i="18"/>
  <c r="B313" i="18"/>
  <c r="B305" i="18"/>
  <c r="B297" i="18"/>
  <c r="B289" i="18"/>
  <c r="B281" i="18"/>
  <c r="B273" i="18"/>
  <c r="B265" i="18"/>
  <c r="B257" i="18"/>
  <c r="B249" i="18"/>
  <c r="B241" i="18"/>
  <c r="B233" i="18"/>
  <c r="B225" i="18"/>
  <c r="B217" i="18"/>
  <c r="B209" i="18"/>
  <c r="B201" i="18"/>
  <c r="B193" i="18"/>
  <c r="B185" i="18"/>
  <c r="B177" i="18"/>
  <c r="B169" i="18"/>
  <c r="B161" i="18"/>
  <c r="B153" i="18"/>
  <c r="B145" i="18"/>
  <c r="B137" i="18"/>
  <c r="B129" i="18"/>
  <c r="B121" i="18"/>
  <c r="B113" i="18"/>
  <c r="B105" i="18"/>
  <c r="B97" i="18"/>
  <c r="B89" i="18"/>
  <c r="B81" i="18"/>
  <c r="B73" i="18"/>
  <c r="B65" i="18"/>
  <c r="B57" i="18"/>
  <c r="B49" i="18"/>
  <c r="B41" i="18"/>
  <c r="B33" i="18"/>
  <c r="B25" i="18"/>
  <c r="B17" i="18"/>
  <c r="B9" i="18"/>
  <c r="B528" i="18"/>
  <c r="B520" i="18"/>
  <c r="B512" i="18"/>
  <c r="B504" i="18"/>
  <c r="B496" i="18"/>
  <c r="B488" i="18"/>
  <c r="B480" i="18"/>
  <c r="B472" i="18"/>
  <c r="B464" i="18"/>
  <c r="B456" i="18"/>
  <c r="B448" i="18"/>
  <c r="B440" i="18"/>
  <c r="B432" i="18"/>
  <c r="B424" i="18"/>
  <c r="B416" i="18"/>
  <c r="B408" i="18"/>
  <c r="B400" i="18"/>
  <c r="B392" i="18"/>
  <c r="B384" i="18"/>
  <c r="B376" i="18"/>
  <c r="B368" i="18"/>
  <c r="B360" i="18"/>
  <c r="B352" i="18"/>
  <c r="B344" i="18"/>
  <c r="B336" i="18"/>
  <c r="B328" i="18"/>
  <c r="B320" i="18"/>
  <c r="B312" i="18"/>
  <c r="B304" i="18"/>
  <c r="B296" i="18"/>
  <c r="B288" i="18"/>
  <c r="B280" i="18"/>
  <c r="B272" i="18"/>
  <c r="B264" i="18"/>
  <c r="B256" i="18"/>
  <c r="B248" i="18"/>
  <c r="B240" i="18"/>
  <c r="B232" i="18"/>
  <c r="B224" i="18"/>
  <c r="B216" i="18"/>
  <c r="B208" i="18"/>
  <c r="B200" i="18"/>
  <c r="B192" i="18"/>
  <c r="B184" i="18"/>
  <c r="B176" i="18"/>
  <c r="B168" i="18"/>
  <c r="B160" i="18"/>
  <c r="B152" i="18"/>
  <c r="B144" i="18"/>
  <c r="B136" i="18"/>
  <c r="B128" i="18"/>
  <c r="B120" i="18"/>
  <c r="B112" i="18"/>
  <c r="B104" i="18"/>
  <c r="B96" i="18"/>
  <c r="B88" i="18"/>
  <c r="B80" i="18"/>
  <c r="B72" i="18"/>
  <c r="B64" i="18"/>
  <c r="B56" i="18"/>
  <c r="B48" i="18"/>
  <c r="B40" i="18"/>
  <c r="B32" i="18"/>
  <c r="B24" i="18"/>
  <c r="B16" i="18"/>
  <c r="B8" i="18"/>
  <c r="B527" i="18"/>
  <c r="B519" i="18"/>
  <c r="B511" i="18"/>
  <c r="B503" i="18"/>
  <c r="B495" i="18"/>
  <c r="B487" i="18"/>
  <c r="B479" i="18"/>
  <c r="B471" i="18"/>
  <c r="B463" i="18"/>
  <c r="B455" i="18"/>
  <c r="B447" i="18"/>
  <c r="B439" i="18"/>
  <c r="B431" i="18"/>
  <c r="B423" i="18"/>
  <c r="B415" i="18"/>
  <c r="B407" i="18"/>
  <c r="B399" i="18"/>
  <c r="B391" i="18"/>
  <c r="B383" i="18"/>
  <c r="B375" i="18"/>
  <c r="B367" i="18"/>
  <c r="B359" i="18"/>
  <c r="B351" i="18"/>
  <c r="B343" i="18"/>
  <c r="B335" i="18"/>
  <c r="B327" i="18"/>
  <c r="B319" i="18"/>
  <c r="B311" i="18"/>
  <c r="B303" i="18"/>
  <c r="B295" i="18"/>
  <c r="B287" i="18"/>
  <c r="B279" i="18"/>
  <c r="B271" i="18"/>
  <c r="B263" i="18"/>
  <c r="B255" i="18"/>
  <c r="B247" i="18"/>
  <c r="B239" i="18"/>
  <c r="B231" i="18"/>
  <c r="B223" i="18"/>
  <c r="B215" i="18"/>
  <c r="B207" i="18"/>
  <c r="B199" i="18"/>
  <c r="B191" i="18"/>
  <c r="B183" i="18"/>
  <c r="B175" i="18"/>
  <c r="B167" i="18"/>
  <c r="B159" i="18"/>
  <c r="B151" i="18"/>
  <c r="B143" i="18"/>
  <c r="B135" i="18"/>
  <c r="B127" i="18"/>
  <c r="B119" i="18"/>
  <c r="B111" i="18"/>
  <c r="B103" i="18"/>
  <c r="B95" i="18"/>
  <c r="B87" i="18"/>
  <c r="B79" i="18"/>
  <c r="B71" i="18"/>
  <c r="B63" i="18"/>
  <c r="B55" i="18"/>
  <c r="B47" i="18"/>
  <c r="B39" i="18"/>
  <c r="B31" i="18"/>
  <c r="B23" i="18"/>
  <c r="B15" i="18"/>
  <c r="B7" i="18"/>
  <c r="B526" i="18"/>
  <c r="B518" i="18"/>
  <c r="B510" i="18"/>
  <c r="B502" i="18"/>
  <c r="B494" i="18"/>
  <c r="B486" i="18"/>
  <c r="B478" i="18"/>
  <c r="B470" i="18"/>
  <c r="B462" i="18"/>
  <c r="B454" i="18"/>
  <c r="B446" i="18"/>
  <c r="B438" i="18"/>
  <c r="B430" i="18"/>
  <c r="B422" i="18"/>
  <c r="B414" i="18"/>
  <c r="B406" i="18"/>
  <c r="B398" i="18"/>
  <c r="B390" i="18"/>
  <c r="B382" i="18"/>
  <c r="B374" i="18"/>
  <c r="B366" i="18"/>
  <c r="B358" i="18"/>
  <c r="B350" i="18"/>
  <c r="B342" i="18"/>
  <c r="B334" i="18"/>
  <c r="B326" i="18"/>
  <c r="B318" i="18"/>
  <c r="B310" i="18"/>
  <c r="B302" i="18"/>
  <c r="B294" i="18"/>
  <c r="B286" i="18"/>
  <c r="B278" i="18"/>
  <c r="B270" i="18"/>
  <c r="B262" i="18"/>
  <c r="B254" i="18"/>
  <c r="B246" i="18"/>
  <c r="B238" i="18"/>
  <c r="B230" i="18"/>
  <c r="B222" i="18"/>
  <c r="B214" i="18"/>
  <c r="B206" i="18"/>
  <c r="B198" i="18"/>
  <c r="B190" i="18"/>
  <c r="B182" i="18"/>
  <c r="B174" i="18"/>
  <c r="B166" i="18"/>
  <c r="B158" i="18"/>
  <c r="B150" i="18"/>
  <c r="B142" i="18"/>
  <c r="B134" i="18"/>
  <c r="B126" i="18"/>
  <c r="B118" i="18"/>
  <c r="B110" i="18"/>
  <c r="B102" i="18"/>
  <c r="B94" i="18"/>
  <c r="B86" i="18"/>
  <c r="B78" i="18"/>
  <c r="B70" i="18"/>
  <c r="B62" i="18"/>
  <c r="B54" i="18"/>
  <c r="B46" i="18"/>
  <c r="B38" i="18"/>
  <c r="B30" i="18"/>
  <c r="B22" i="18"/>
  <c r="B14" i="18"/>
  <c r="B6" i="18"/>
  <c r="B525" i="18"/>
  <c r="B517" i="18"/>
  <c r="B509" i="18"/>
  <c r="B501" i="18"/>
  <c r="B493" i="18"/>
  <c r="B485" i="18"/>
  <c r="B477" i="18"/>
  <c r="B469" i="18"/>
  <c r="B461" i="18"/>
  <c r="B453" i="18"/>
  <c r="B445" i="18"/>
  <c r="B437" i="18"/>
  <c r="B429" i="18"/>
  <c r="B421" i="18"/>
  <c r="B413" i="18"/>
  <c r="B405" i="18"/>
  <c r="B397" i="18"/>
  <c r="B389" i="18"/>
  <c r="B381" i="18"/>
  <c r="B373" i="18"/>
  <c r="B365" i="18"/>
  <c r="B357" i="18"/>
  <c r="B349" i="18"/>
  <c r="B341" i="18"/>
  <c r="B333" i="18"/>
  <c r="B325" i="18"/>
  <c r="B317" i="18"/>
  <c r="B309" i="18"/>
  <c r="B301" i="18"/>
  <c r="B293" i="18"/>
  <c r="B285" i="18"/>
  <c r="B277" i="18"/>
  <c r="B269" i="18"/>
  <c r="B261" i="18"/>
  <c r="B253" i="18"/>
  <c r="B245" i="18"/>
  <c r="B237" i="18"/>
  <c r="B229" i="18"/>
  <c r="B221" i="18"/>
  <c r="B213" i="18"/>
  <c r="B205" i="18"/>
  <c r="B197" i="18"/>
  <c r="B189" i="18"/>
  <c r="B181" i="18"/>
  <c r="B173" i="18"/>
  <c r="B165" i="18"/>
  <c r="B157" i="18"/>
  <c r="B149" i="18"/>
  <c r="B141" i="18"/>
  <c r="B133" i="18"/>
  <c r="B125" i="18"/>
  <c r="B117" i="18"/>
  <c r="B109" i="18"/>
  <c r="B101" i="18"/>
  <c r="B93" i="18"/>
  <c r="B85" i="18"/>
  <c r="B77" i="18"/>
  <c r="B69" i="18"/>
  <c r="B61" i="18"/>
  <c r="B53" i="18"/>
  <c r="B45" i="18"/>
  <c r="B37" i="18"/>
  <c r="B29" i="18"/>
  <c r="B21" i="18"/>
  <c r="B13" i="18"/>
  <c r="B5" i="18"/>
  <c r="B524" i="18"/>
  <c r="B516" i="18"/>
  <c r="B508" i="18"/>
  <c r="B500" i="18"/>
  <c r="B492" i="18"/>
  <c r="B484" i="18"/>
  <c r="B476" i="18"/>
  <c r="B468" i="18"/>
  <c r="B460" i="18"/>
  <c r="B452" i="18"/>
  <c r="B444" i="18"/>
  <c r="B436" i="18"/>
  <c r="B428" i="18"/>
  <c r="B420" i="18"/>
  <c r="B412" i="18"/>
  <c r="B404" i="18"/>
  <c r="B396" i="18"/>
  <c r="B388" i="18"/>
  <c r="B380" i="18"/>
  <c r="B372" i="18"/>
  <c r="B364" i="18"/>
  <c r="B356" i="18"/>
  <c r="B348" i="18"/>
  <c r="B340" i="18"/>
  <c r="B332" i="18"/>
  <c r="B324" i="18"/>
  <c r="B316" i="18"/>
  <c r="B308" i="18"/>
  <c r="B300" i="18"/>
  <c r="B292" i="18"/>
  <c r="B284" i="18"/>
  <c r="B276" i="18"/>
  <c r="B268" i="18"/>
  <c r="B260" i="18"/>
  <c r="B252" i="18"/>
  <c r="B244" i="18"/>
  <c r="B236" i="18"/>
  <c r="B228" i="18"/>
  <c r="B220" i="18"/>
  <c r="B212" i="18"/>
  <c r="B204" i="18"/>
  <c r="B196" i="18"/>
  <c r="B188" i="18"/>
  <c r="B180" i="18"/>
  <c r="B172" i="18"/>
  <c r="B164" i="18"/>
  <c r="B156" i="18"/>
  <c r="B148" i="18"/>
  <c r="B140" i="18"/>
  <c r="B132" i="18"/>
  <c r="B124" i="18"/>
  <c r="B116" i="18"/>
  <c r="B108" i="18"/>
  <c r="B100" i="18"/>
  <c r="B92" i="18"/>
  <c r="B84" i="18"/>
  <c r="B76" i="18"/>
  <c r="B68" i="18"/>
  <c r="B60" i="18"/>
  <c r="B52" i="18"/>
  <c r="B44" i="18"/>
  <c r="B36" i="18"/>
  <c r="B28" i="18"/>
  <c r="B20" i="18"/>
  <c r="B12" i="18"/>
  <c r="B4" i="18"/>
  <c r="B523" i="18"/>
  <c r="B515" i="18"/>
  <c r="B507" i="18"/>
  <c r="B499" i="18"/>
  <c r="B491" i="18"/>
  <c r="B483" i="18"/>
  <c r="B475" i="18"/>
  <c r="B467" i="18"/>
  <c r="B459" i="18"/>
  <c r="B451" i="18"/>
  <c r="B443" i="18"/>
  <c r="B435" i="18"/>
  <c r="B427" i="18"/>
  <c r="B419" i="18"/>
  <c r="B411" i="18"/>
  <c r="B403" i="18"/>
  <c r="B395" i="18"/>
  <c r="B387" i="18"/>
  <c r="B379" i="18"/>
  <c r="B371" i="18"/>
  <c r="B363" i="18"/>
  <c r="B355" i="18"/>
  <c r="B347" i="18"/>
  <c r="B339" i="18"/>
  <c r="B331" i="18"/>
  <c r="B323" i="18"/>
  <c r="B315" i="18"/>
  <c r="B307" i="18"/>
  <c r="B299" i="18"/>
  <c r="B291" i="18"/>
  <c r="B283" i="18"/>
  <c r="B275" i="18"/>
  <c r="B267" i="18"/>
  <c r="B259" i="18"/>
  <c r="B251" i="18"/>
  <c r="B243" i="18"/>
  <c r="B235" i="18"/>
  <c r="B227" i="18"/>
  <c r="B219" i="18"/>
  <c r="B211" i="18"/>
  <c r="B203" i="18"/>
  <c r="B195" i="18"/>
  <c r="B187" i="18"/>
  <c r="B179" i="18"/>
  <c r="B171" i="18"/>
  <c r="B163" i="18"/>
  <c r="B155" i="18"/>
  <c r="B147" i="18"/>
  <c r="B139" i="18"/>
  <c r="B131" i="18"/>
  <c r="B123" i="18"/>
  <c r="B115" i="18"/>
  <c r="B107" i="18"/>
  <c r="B99" i="18"/>
  <c r="B91" i="18"/>
  <c r="B83" i="18"/>
  <c r="B75" i="18"/>
  <c r="B67" i="18"/>
  <c r="B59" i="18"/>
  <c r="B51" i="18"/>
  <c r="B43" i="18"/>
  <c r="B35" i="18"/>
  <c r="B27" i="18"/>
  <c r="B19" i="18"/>
  <c r="B11" i="18"/>
  <c r="B3" i="18"/>
  <c r="B80" i="25" l="1"/>
  <c r="B79" i="25"/>
  <c r="B58" i="25"/>
  <c r="B65" i="25"/>
  <c r="B71" i="25"/>
  <c r="B77" i="25"/>
  <c r="B64" i="25"/>
  <c r="B57" i="25"/>
  <c r="B78" i="25"/>
  <c r="B61" i="25"/>
  <c r="B63" i="25"/>
  <c r="B59" i="25"/>
  <c r="B70" i="25"/>
  <c r="B76" i="25"/>
  <c r="B82" i="25"/>
  <c r="B62" i="25"/>
  <c r="B68" i="25"/>
  <c r="B74" i="25"/>
  <c r="B69" i="25"/>
  <c r="B75" i="25"/>
  <c r="B66" i="25"/>
  <c r="B73" i="25"/>
  <c r="B72" i="25"/>
  <c r="B67" i="25"/>
  <c r="B81" i="25"/>
  <c r="B60" i="25"/>
  <c r="B10" i="25"/>
  <c r="B19" i="25"/>
  <c r="B28" i="25"/>
  <c r="B21" i="25"/>
  <c r="B14" i="25"/>
  <c r="B23" i="25"/>
  <c r="B18" i="25"/>
  <c r="B27" i="25"/>
  <c r="B36" i="25"/>
  <c r="B29" i="25"/>
  <c r="B22" i="25"/>
  <c r="B31" i="25"/>
  <c r="B9" i="25"/>
  <c r="B26" i="25"/>
  <c r="B35" i="25"/>
  <c r="B44" i="25"/>
  <c r="B37" i="25"/>
  <c r="B30" i="25"/>
  <c r="B39" i="25"/>
  <c r="B17" i="25"/>
  <c r="B34" i="25"/>
  <c r="B43" i="25"/>
  <c r="B52" i="25"/>
  <c r="B45" i="25"/>
  <c r="B38" i="25"/>
  <c r="B47" i="25"/>
  <c r="B25" i="25"/>
  <c r="B42" i="25"/>
  <c r="B51" i="25"/>
  <c r="B16" i="25"/>
  <c r="B53" i="25"/>
  <c r="B46" i="25"/>
  <c r="B55" i="25"/>
  <c r="B33" i="25"/>
  <c r="B50" i="25"/>
  <c r="B4" i="25"/>
  <c r="B56" i="25"/>
  <c r="B8" i="25"/>
  <c r="B54" i="25"/>
  <c r="B24" i="25"/>
  <c r="B41" i="25"/>
  <c r="B3" i="25"/>
  <c r="B12" i="25"/>
  <c r="B5" i="25"/>
  <c r="B48" i="25"/>
  <c r="B7" i="25"/>
  <c r="B32" i="25"/>
  <c r="B2" i="25"/>
  <c r="B49" i="25"/>
  <c r="B11" i="25"/>
  <c r="B20" i="25"/>
  <c r="B13" i="25"/>
  <c r="B6" i="25"/>
  <c r="B15" i="25"/>
  <c r="B40" i="25"/>
</calcChain>
</file>

<file path=xl/sharedStrings.xml><?xml version="1.0" encoding="utf-8"?>
<sst xmlns="http://schemas.openxmlformats.org/spreadsheetml/2006/main" count="19768" uniqueCount="1727">
  <si>
    <t>reviewed by expert panel</t>
  </si>
  <si>
    <t>curation</t>
  </si>
  <si>
    <t>germline:na</t>
  </si>
  <si>
    <t>Pathogenic</t>
  </si>
  <si>
    <t>PAH-specific ACMG/AMP criteria applied: PS3: abolishes PAH activity due to protein instability (PMID:17935162; PMID:3615198); PM3: (PMID:24941924); PP4_Moderate: Reported in Galician PAH deficiency population. BH4 deficiency ruled out. (PMID:23500595); PVS1: Canonical +1 splice site. In summary this variant meets criteria to be classified as pathogenic for phenylketonuria in an autosomal recessive inheritance manner based on the ACMG/AMP criteria applied as specified by the PAH Expert Panel: (PS3, PM3, PP4_Moderate, PVS1).</t>
  </si>
  <si>
    <t>Orphanet:ORPHA716</t>
  </si>
  <si>
    <t>C0031485:Phenylketonuria</t>
  </si>
  <si>
    <t>SCV000852099.1</t>
  </si>
  <si>
    <t>PAH</t>
  </si>
  <si>
    <t>-</t>
  </si>
  <si>
    <t>PAH-specific ACMG/AMP criteria applied: PP3: ; PS3: PMID 17935162: Table 1: p.Arg408Trp 1.85% WT activity PMID 25596310: 1.3% activity of WT (Table S4) (PMID:25596310; PMID:17935162); PP4_Moderate: most common PAH mutation in cohort; exclude BH4 deficiency. (PMID:25596310; PMID:9634518); PM3_Strong: Detected with IVS12+1G&gt;A, M1V (Pathogenic/LP) (PMID:9634518; PMID:1971147; PMID:1609797). In summary this variant meets criteria to be classified as pathogenic for phenylketonuria in an autosomal recessive manner based on the ACMG/AMP criteria applied as specified by the PAH Expert Panel: (PP3, PS3, PP4_Moderate, PM3_Strong).</t>
  </si>
  <si>
    <t>SCV000852102.1</t>
  </si>
  <si>
    <t>PAH-specific ACMG/AMP criteria applied: PVS1: Nonsense variant; PP4_Moderate: Seen in multiple Chinese PKU patients. BH4 deficiency excluded. (PMID:1301187; PMID:2816939; PMID:9860305); PM3: Detected with R243Q, pathogenic in ClinVar (PMID:15503242). In summary this variant meets criteria to be classified as pathogenic for phenylketonuria in an autosomal recessive manner based on the ACMG/AMP criteria applied as specified by the PAH Expert Panel: (PVS1, PP4_Moderate, PM3).</t>
  </si>
  <si>
    <t>SCV000852165.1</t>
  </si>
  <si>
    <t>PAH-specific ACMG/AMP criteria applied: PP3: tools predict damaging; PS3: 15.5-30% activity (PMID:2014036; PMID:25596310); PM3_VeryStrong: L48S, R408W, S349P, R243X (PMID:25596310; PMID:17935162); PP4_Moderate: (PMID:25596310). In summary this variant meets criteria to be classified as pathogenic for phenylketonuria in an autosomal recessive manner based on the ACMG/AMP criteria applied as specified by the PAH Expert Panel: (PP3, PS3, PM3_VeryStrong, PP4_Moderate).</t>
  </si>
  <si>
    <t>SCV000852142.1</t>
  </si>
  <si>
    <t>PAH-specific ACMG/AMP criteria applied: PM2: gnomAD MAF: 0.00006; PP3: tools predict damaging ; PS3: 1% residual activity (PMID:25596310; PMID:17935162); PP4: Detection of codon 252arg&gt;trp in a patient with PAH deficiency (PMID:2574153); PM3: Detected with IVS10-11G&gt;A, R261Q, IVS12+1, R68S (all P/LP). (PMID:18299955; PMID:11524738). In summary this variant meets criteria to be classified as pathogenic for phenylketonuria in an autosomal recessive manner based on the ACMG/AMP criteria applied as specified by the PAH Expert Panel: (PM2, PP3, PS3, PP4, PM3).</t>
  </si>
  <si>
    <t>SCV000852089.1</t>
  </si>
  <si>
    <t>PAH-specific ACMG/AMP criteria applied: PVS1: Initiation codon variant; PM2: gnomAD MAF=0.00002; PP4_Moderate: Seen in PKU patients. BH4 disorders ruled out. (PMID:2574002); PS3: &lt;3% (PMID:9450897). In summary this variant meets criteria to be classified as pathogenic for phenylketonuria in an autosomal recessive manner based on the ACMG/AMP criteria applied as specified by the PAH Expert Panel: (PVS1, PM2, PP4_Moderate, PS3).</t>
  </si>
  <si>
    <t>SCV000852133.1</t>
  </si>
  <si>
    <t>PAH-specific ACMG/AMP criteria applied: PS3: R158Q is associated with very low levels (0.2-1.8%) of pah enzyme activity compared to wild-type. (PMID:2014036; PMID:19036622); PP3: tools predict damaging ; PP4_Moderate: BH4 testing showed responsive in a pt, pretreatment 1065uM (PMID:23500595); PM3_VeryStrong: in trans with 4 pathogenic variants: I48S, c.1315+1G&gt;A, P281L, R261Ter. (PMID:23500595; PMID:10479481; PMID:24368688). In summary this variant meets criteria to be classified as pathogenic for phenylketonuria in an autosomal recessive manner based on the ACMG/AMP criteria applied as specified by the PAH Expert Panel: (PS3, PP3, PP4_Moderate, PM3_VeryStrong).</t>
  </si>
  <si>
    <t>SCV000852101.1</t>
  </si>
  <si>
    <t>PAH-specific ACMG/AMP criteria applied: PVS1: nonsense variant; PS3: &lt;1% of normal PAH activity (PMID:2014036). In summary this variant meets criteria to be classified as pathogenic for phenylketonuria in an autosomal recessive manner based on the ACMG/AMP criteria applied as specified by the PAH Expert Panel: (PVS1, PS3).</t>
  </si>
  <si>
    <t>SCV000852113.1</t>
  </si>
  <si>
    <t>Likely pathogenic</t>
  </si>
  <si>
    <t>PAH-specific ACMG/AMP criteria applied: PP3: ; PS3: 2% activity in bioPKU (PAH0309) (PMID:25596310; PMID:17935162); PP4_Moderate: 2 patients with moderate or classical PKU; patients with severe PKU. BH4 deficiency ruled out. (PMID:15503242; PMID:12655553); PM3: IVS4-1G&gt;A (P/LP) (PMID:15503242). In summary this variant meets criteria to be classified as likely pathogenic for phenylketonuria in an autosomal recessive manner based on the ACMG/AMP criteria applied as specified by the PAH Expert Panel: (PP3, PS3, PP4_Moderate, PM3).</t>
  </si>
  <si>
    <t>SCV000852092.1</t>
  </si>
  <si>
    <t>PAH-specific ACMG/AMP criteria applied: PS3: In vitro expression of altered protein in COS cells produces severe decrease of PAH activity (&lt;3%); PM2: Extremely low frequency. ExAC MAF=0.00012; PP4_Moderate: Detected in PKU patients, BH4 deficiency excluded; PP3: Predicted deleterious in SIFT, Polyphen-2, MutationTaster. REVEL=0.895; PM3: Detected with V388M (pathogenic) in 2 patients (PMID:9860305; PMID:21307867). In summary this variant meets criteria to be classified as pathogenic for phenylketonuria in an autosomal recessive manner based on the ACMG/AMP criteria applied as specified by the PAH Expert Panel: (PS3, PM2, PP4_Moderate, PP3, PM3).</t>
  </si>
  <si>
    <t>SCV000852136.1</t>
  </si>
  <si>
    <t>PAH-specific ACMG/AMP criteria applied: PM5: c.1240T&gt;C likely pathogenic in ClinVar; PP3: All computational evidence supports deleterious effect. REVEL=0.982; PS3: 50% activity, 50% immunoreactivity (PMID:2044609); PM3_VeryStrong: Patient #41 p.R408W / p.Y414C, Phe 744 @dx and two homozygous individuals. Total of 9 patients with this variant (PMID:22526846; PMID:17935162; PMID:9399896; PMID:21871829; PMID:26542770); PP4_Moderate: BH4 defect excluded in all patients (PMID:22526846). In summary this variant meets criteria to be classified as pathogenic for phenylketonuria in an autosomal recessive manner based on the ACMG/AMP criteria applied as specified by the PAH Expert Panel: (PM5, PP3, PS3, PM3_VeryStrong, PP4_Moderate).</t>
  </si>
  <si>
    <t>SCV000852130.1</t>
  </si>
  <si>
    <t>PAH-specific ACMG/AMP criteria applied: PM2: Not present in ExAC or 1000 genomes (PMID:9860305); PVS1: Canonical -1 splice site; PP4_Moderate: Reported in a mild PKU patient. BH4 deficiency assessed. (PMID:14681498). In summary this variant meets criteria to be classified as pathogenic for phenylketonuria in an autosomal recessive manner based on the ACMG/AMP criteria applied as specified by the PAH Expert Panel: (PM2, PVS1, PP4_Moderate).</t>
  </si>
  <si>
    <t>SCV000852173.1</t>
  </si>
  <si>
    <t>PAH-specific ACMG/AMP criteria applied: PVS1: Nonsense variant; PM2: ExAC MAF:0.00006.; PP4_Moderate: seen in classic and mild PKU patients. BH4 deficiency excluded.. In summary this variant meets criteria to be classified as pathogenic for phenylketonuria in an autosomal recessive manner based on the ACMG/AMP criteria applied as specified by the PAH Expert Panel: (PVS1, PM2, PP4_Moderate).</t>
  </si>
  <si>
    <t>SCV000852156.1</t>
  </si>
  <si>
    <t>PAH-specific ACMG/AMP criteria applied: PM2: Absent from 1000G, ESP. Extrememly low frequency in ExAC, gnomAD (MAF= 0.00006, 0.0003093); PVS1: Nonsense variant. Predicted to cause loss of normal protein function either through protein truncation or nonsense-mediated mRNA decay.; PP4: G272X found on one allele of a patient with classic PKU (PMID:1975559). In summary this variant meets criteria to be classified as pathogenic for phenylketonuria in an autosomal recessive inheritance manner based on the ACMG/AMP criteria applied as specified by the PAH Expert Panel: (PM2, PVS1, PP4).</t>
  </si>
  <si>
    <t>SCV000852120.1</t>
  </si>
  <si>
    <t>PAH-specific ACMG/AMP criteria applied: PM2: Extremely low frequency in ExAC and gnomAD (1 allele); PP3: Deleterious effect predicted in SIFT, Polyphen2, MutationTaster. REVEL=0.978; PP4_Moderate: S273F was detected in in Northern Ireland, Belgium/French, Western Scotland, and New South Wales PKU patients. BH4 deficiency was assessed in 1 study. Upgraded per ClinGen Metabolic workgroup. (PMID:1671881; PMID:8533759; PMID:9012412; PMID:24368688); PM3_Strong: Seen with 2 known pathogenic mutations: I65T, R408W. Upgraded based on SVI worgroup recommendations and approved PAH guidelines (PMID:24368688). In summary this variant meets criteria to be classified as likely pathogenic for phenylketonuria in an autosomal recessive manner based on the ACMG/AMP criteria applied as specified by the PAH Expert Panel: (PM2, PP3, PP4_Moderate, PM3_Strong).</t>
  </si>
  <si>
    <t>SCV000852145.1</t>
  </si>
  <si>
    <t>PAH-specific ACMG/AMP criteria applied: PVS1: Canonical +1 splice site; PM2: gnomAD MAF 0.00008; PP4: Reported in 3 PKU populations: Slovak, Germany, Italy (PMID:1671810; PMID:10394930; PMID:23764561); PM3: (PMID:20188615; PMID:24941924). In summary this variant meets criteria to be classified as pathogenic for phenylketonuria in an autosomal recessive manner based on the ACMG/AMP criteria applied as specified by the PAH Expert Panel: (PVS1, PM2, PP4, PM3).</t>
  </si>
  <si>
    <t>SCV000852168.1</t>
  </si>
  <si>
    <t>The c.1197A&gt;T (p.Val399=) variant in PAH has been reported on 7 alleles of PKU patients (BH4 deficiency excluded). (PP4_Moderate; PMID: 23271928; PMID: 11214902). This variant has an extremely low allele frequency (0.000004064) in gnomAD (PM2; http://gnomAD.broadinstitute.org). This variant induces post-transcriptional skipping of exon 11 (PS3; PMID: 11214902). This variant was detected in trans with R408W (Pathogenic in ClinVar) (PM3; PMID: 11214902). In summary, this variant meets criteria to be classified as pathogenic for PAH. PAH-specific ACMG/AMP criteria applied: PP4_Moderate</t>
  </si>
  <si>
    <t>SCV000852144.1</t>
  </si>
  <si>
    <t>The c.829T&gt;G (p.Tyr277Asp) variant in PAH has been reported in 2 individuals with Classic PKU (BH4 deficiency excluded). (PP4_Moderate; PMID: 8268925; PMID: 23500595). This variant has an extremely low allele frequency (1/121400) in ExAC (PM2; http://exac.broadinstitute.org). This variant has 0% enzyme activity (PS3; http://www.biopku.org/centralStore/biopku/PAH%20activity.pdf). This variant was detected in trans with L48S (Pathogenic in ClinVar) (PM3; PMID: 23500595). Computational prediction tools and conservation analysis suggest that the c.829T&gt;G variant may impact the protein (PP3). In summary, this variant meets criteria to be classified as pathogenic for PAH. PAH-specific ACMG/AMP criteria applied: PP4_Moderate, PS3</t>
  </si>
  <si>
    <t>SCV000852097.1</t>
  </si>
  <si>
    <t>The c.1066-11G&gt;A variant in PAH has been reported in &gt; 76 PKU alleles (BH4 deficiency excluded). (PP4_Moderate; PMID: 23500595; PMID: 8990013). This variant has 0% enzyme activity (PS3; http://www.biopku.org/centralStore/biopku/PAH%20activity.pdf). This variant was detected in trans with multiple known pathogenic variants: p.R243Q, p.R243X, p.R261Q, p.R270K, p.I65T. (PM3_Strong; PMID: 23500595; PMID: 8990013). Computational prediction tools and conservation analysis suggest that the c.1066-11G&gt;A variant may impact the protein (PP3). In summary, this variant meets criteria to be classified as pathogenic for PAH. PAH-specific ACMG/AMP criteria applied: PP4_Moderate, PS3, PM3_Strong</t>
  </si>
  <si>
    <t>SCV000852137.1</t>
  </si>
  <si>
    <t>PAH-specific ACMG/AMP criteria applied: PVS1: Nonsense variant; PP4: Detected in 2 unrelated patients (PMID:1682234); PM3: Detected with H170D, pathogenic (PMID:11385716). In summary this variant meets criteria to be classified as pathogenic for phenylketonuria in an autosomal recessive manner based on the ACMG/AMP criteria applied as specified by the PAH Expert Panel: (PVS1, PP4, PM3).</t>
  </si>
  <si>
    <t>SCV000852174.1</t>
  </si>
  <si>
    <t>PAH-specific ACMG/AMP criteria applied: PM3_Strong: In trans with R408W, IVS4-1G&gt;A, R241C (ClinGen, P) (PMID:1312992; PMID:14722928); PP3: ; PS3: Mutant enzyme activity of 46% in BioPKU (PMID:9860305); PP4_Moderate: ~830 uml/L w/o BH4 deficiency &amp; 823 umol/L, BH4 status unknown (PMID:9860305; PMID:1312992). In summary this variant meets criteria to be classified as pathogenic for phenylketonuria in an autosomal recessive manner based on the ACMG/AMP criteria applied as specified by the PAH Expert Panel: (PM3_Strong, PP3, PS3, PP4_Moderate).</t>
  </si>
  <si>
    <t>SCV000852159.1</t>
  </si>
  <si>
    <t>The c.1243G&gt;A (p.Asp415Asn) variant in PAH has been reported in 3 patients with Hyperphenylalaninemia (BH4 deficiency excluded). (PP4_Moderate; PMID: 1358789). This variant has an extremely low allele frequency (0.0001097 in gnomAD) (PM2; http://gnomad.broadinstitute.org). This variant was detected in trans with R408W, F39L, Y414C, IVS10-11G&gt;A (Pathogenic in ClinVar) (PM3_Very-strong; PMID: 1358789; PMID: 12501224; PMID: 18299955). In summary, this variant meets criteria to be classified as pathogenic for PAH. PAH-specific ACMG/AMP criteria applied: PP4_Moderate, PM3_Very-strong</t>
  </si>
  <si>
    <t>SCV000852091.1</t>
  </si>
  <si>
    <t>PAH-specific ACMG/AMP criteria applied: PM2: MAF = 2.0e-5; PP3: Software agrees on a damaging effect.; PS3: Mutation ID#1, 18% residual enzyme activity (PMID:18590700); PM3: I306V / F55L (pathogenic in ClinVar) in a single patient with mild HPA (PMID:18299955); PP4_Moderate: BH4 defect excluded in all patients--single patient with mild hyperphe (Bercovich, 2008). (PMID:18299955). In summary this variant meets criteria to be classified as pathogenic for phenylketonuria in an autosomal recessive manner based on the ACMG/AMP criteria applied as specified by the PAH Expert Panel: (PM2, PP3, PS3, PM3, PP4_Moderate).</t>
  </si>
  <si>
    <t>SCV000852135.1</t>
  </si>
  <si>
    <t>PAH-specific ACMG/AMP criteria applied: PM2: Extremely low in ExAC and 1000 genomes (PMID:9860305); PS3: PAH activity in COS cell expression system 15% (PMID:9860305); PM3: Compound het with severe mutation (PMID:9860305); PP3: ; PP4: Reported in patient with classic PKU (PMID:9860305). In summary this variant meets criteria to be classified as pathogenic for phenylketonuria in an autosomal recessive manner based on the ACMG/AMP criteria applied as specified by the PAH Expert Panel: (PM2, PS3, PM3, PP3, PP4).</t>
  </si>
  <si>
    <t>SCV000852098.1</t>
  </si>
  <si>
    <t>The c.1169A&gt;G (p.Glu390Gly) variant in PAH has been reported on at least 47 alleles, most often with Mild Hyperphenylalaninemia. (BH4 deficiency excluded). (PP4_Moderate; PMID: 8088845; PMID: 21147011). This variant has an extremely low allele frequency (MAF=0.00018 in gnomAD) (PM2; http://gnomAD.broadinstitute.org). This variant was detected in trans with IVS-12nt1, L333F (Pathogenic in ClinVar) + 8 homozygotes (PM3_Very-strong; PMID: 10479481; PMID: 21147011; PMID: 8088845). Computational prediction tools and conservation analysis suggest that the c.1169A&gt;G variant may impact the protein (PP3). In summary, this variant meets criteria to be classified as pathogenic for PAH. PAH-specific ACMG/AMP criteria applied: PP4_Moderate, PM3_Very-strong</t>
  </si>
  <si>
    <t>SCV000852141.1</t>
  </si>
  <si>
    <t>The c.1139C&gt;T (p.Thr380Met) variant in PAH has been reported in 1 patient with PAH deficiency (BH4 deficiency excluded). (PP4_Moderate; PMID: 8268925). This variant has 28% enzyme activity (PS3; PMID: 27620137). This variant was detected in trans with multiple known pathogenic variants: R408W, R261Q, I65T, F299C (PM3_Very-strong; PMID: 7981714). Computational prediction tools and conservation analysis suggest that the c.1139C&gt;T variant may impact the protein (PP3). In summary, this variant meets criteria to be classified as pathogenic for PAH. PAH-specific ACMG/AMP criteria applied: PP4_Moderate, PS3, PM3_Very-strong</t>
  </si>
  <si>
    <t>SCV000852140.1</t>
  </si>
  <si>
    <t>PAH-specific ACMG/AMP criteria applied: PM5: V245L Pathogenic; PP4_Moderate: Seen in at least 7 MHP patients. Exclusion of a defect in tetrahydrobiopterin metabolism. Upgraded per ClinGen Metabolic Workgroup. (PMID:7981714; PMID:9298832; PMID:9634518); PM3_Very-strong: V245A detected with IVS-12nt1, R252W, L194P (both P/LP), R408W (Path). Upgraded per ClinGen SVI Workgroup (PMID:7981714; PMID:9298832; PMID:8088845). In summary this variant meets criteria to be classified as pathogenic for phenylketonuria in an autosomal recessive inheritance manner based on the ACMG/AMP criteria applied as specified by the PAH Expert Panel: (PM5, PP4_Moderate, PM3_Very-strong).</t>
  </si>
  <si>
    <t>SCV000852138.1</t>
  </si>
  <si>
    <t>PAH-specific ACMG/AMP criteria applied: PM3_Very-strong: Detected with Y414C (P), R408W (P), P281L (P), IVS10nt-11 (P), R252W (P/LP), and R243Q(P). (PMID:12501224; PMID:1301201; PMID:10767174); PP3: Predicted dleterious in SIZFT, Polyphen2, MutationTaster. REVEL=0.985; PP4_Moderate: Detected in a patient with mild PKU. BH4 deficiency excluded. Upgraded per ClinGen PAH EP. (PMID:12501224); PS3: 25% mutant enzyme activity in COS cells as compared in wt (PMID:1301201). In summary this variant meets criteria to be classified as pathogenic for phenylketonuria in an autosomal recessive inheritance manner based on the ACMG/AMP criteria applied as specified by the PAH Expert Panel: (PM3_Very-strong, PP3, PP4_Moderate, PS3).</t>
  </si>
  <si>
    <t>SCV000852169.1</t>
  </si>
  <si>
    <t>Benign</t>
  </si>
  <si>
    <t>The allele frequency of the p.Cys1447GlnfsX29 variant in the USH2A gene is 0.0009% (1/111250) of European (Non-Finnish) chromosomes by the Genome Aggregation Database (http://gnomad.broadinstitute.org), which is a low enough frequency to award PM2 based on the thresholds defined by the ClinGen Hearing Loss Expert Panel for autosomal recessive hearing loss (PM2). The p.Cys1447GlnfsX29 variant is predicted to cause a premature stop codon in biologically-relevant-exon 20 of 72 that leads to an absent protein in a gene in which loss-of-function is an established mechanism (PVS1). This variant has been detected as compound heterozygous with p.Cys759Phe or p.Glu767SerfsX21 in six Usher syndrome probands, and as homozygous in eight Usher syndrome probands (PM3_VeryStrong; PMID: 9624053, 15325563, 18641288, 18665195, 20440071). The p.Cys1447GlnfsX29 variant in USH2A has been reported to segregate with hearing loss in at least 2 family members (PP1_Moderate; PMID: 20440071, 9624053). At least one patient with a variant in this gene displayed features of mild to severe hearing loss and retinitis pigmentosa (PP4; PMID: 9624053, 15325563, 18641288, 18665195, 20440071). In summary, this variant meets criteria to be classified as pathogenic for autosomal recessive Usher syndrome based on the ACMG/AMP criteria applied, as specified by the Hearing Loss Expert Panel: PM2, PVS1, PM3_VeryStrong, PP1_Moderate, PP4.</t>
  </si>
  <si>
    <t>Orphanet:ORPHA886</t>
  </si>
  <si>
    <t>C0271097:Usher syndrome</t>
  </si>
  <si>
    <t>SCV000840529.1</t>
  </si>
  <si>
    <t>USH2A</t>
  </si>
  <si>
    <t>The p.Val138Phe variant in SLC26A4 has been detected in over 4 patients with Pendred syndrome or hearing loss with enlarged vestibular aqueducts who harbored a pathogenic or suspected pathogenic variant in trans with p.Val138Phe (PM3_VS; PMID: 17503324, 15689455, 20597900, 18285825, 23965030, 24224479, 21551164, 23273637, 12788906, 16570074). This variant was found to have a statistically higher prevalence in affected individuals over controls (PS4; PMID: 25999548, 23336812, 26683941). The p.Val138Phe variant in SLC26A4 has been reported to segregate with hearing loss in at least 2 family members (PP1_M; PMID: 12788906). The allele frequency of the p.Val138Phe variant in the SLC26A4 gene is 0.03% (38/126540) of European chromosomes by the Genome Aggregation Database (http://gnomad.broadinstitute.org), which is a low enough frequency to award PM2_Supporting based on the thresholds defined by the ClinGen Hearing Loss Expert Panel for autosomal recessive hearing loss (PM2_P). Computational prediction tools and conservation analysis suggest that the p.Val138Phe variant may impact the protein (PP3). At least one patient with a variant in this gene displayed features of EVA and/or Mondini malformation which are consistent with Pendred syndrome (PP4; PMID: 12788906, 23273637). A functional study performed in HeLa and human embryonic kidney cell lines demonstrated that pendrin harboring the p.Val138Phe variant did not localize to the cell membrane. However, there was no effect on iodide efflux (PS3_P; PMID: 11932316). In summary, this variant meets criteria to be classified as pathogenic for autosomal recessive Pendred syndrome/EVA based on the ACMG/AMP criteria applied: PM3_VS, PS4, PP1_M, PM2_Supporting, PP3, PP4, PS3_P.</t>
  </si>
  <si>
    <t>Orphanet:ORPHA705</t>
  </si>
  <si>
    <t>C0271829:Pendred syndrome</t>
  </si>
  <si>
    <t>SCV000840515.1</t>
  </si>
  <si>
    <t>SLC26A4</t>
  </si>
  <si>
    <t>The filtering allele frequency of the c.919-2A&gt;G variant in the SLC26A4 gene is 0.4% for East Asian chromosomes in the Genome Aggregation Database (91/18860 with 95% CI) , which meets the allele frequency threshold defined by the ClinGen Hearing Loss Expert Panel for considering strong evidence against pathogenicity for autosomal recessive hearing loss variants (BS1). However, the c.919-2A&gt;G variant in SLC26A4 is predicted to cause the skipping of a biologically-relevant out-of-frame exon 8. This is then expected to lead to a truncated or absent protein in a gene in which loss-of-function is an established disease mechanism (PVS1; PMID: 30192042). Additionally, this variant has been detected in 16 patients with hearing loss in trans with more than 4 pathogenic variants (PM3_VeryStrong; PMID: 23151025). The c.919-2A&gt;G variant in SLC26A4 has been reported to segregate with hearing loss in at least 6 family members (PP1_Strong; 10874637). Therefore, the BS1 code will not contribute to the overall classification. In summary, this variant meets criteria to be classified as pathogenic for autosomal recessive Pendred syndrome based on the ACMG/AMP criteria applied: PVS1, PP1_Strong, PM3_VeryStrong, BS1.</t>
  </si>
  <si>
    <t>SCV000840527.1</t>
  </si>
  <si>
    <t>The p.Gly285Ser variant in the KCNQ4 gene was absent from the Genome Aggregation Database (http://gnomad.broadinstitute.org) (PM2). The p.Gly285Ser variant has been reported to segregate with hearing loss in at least 16 family members (PP1_S; PMIDs: 10025409, 25116015). The variant meets PM2 and has been observed in at least 2 affected probands (PS4_P, PMID: 10025409, Partners LMM internal data SCV000198442.4). A different pathogenic missense variant (p.Gly285Cys) has been previously identified at this codon of KCNQ4 which may indicate that this residue is critical to the function of the protein (PM5; ClinVar Variation ID 6244, PMID: 10369879). Furthermore, the variant is in a location that has been defined by the ClinGen Hearing Loss Expert Panel to be a mutational hotspot or domain of KCNQ4 (PM1; PMID: 23717403; https://www.uniprot.org/uniprot/P56696). A functional study demonstrates that this variant may impact protein function (PS3_P; PMID: 10025409, 18786918). In summary, this variant meets criteria to be classified as pathogenic for autosomal dominant nonsyndromic hearing loss based on the ACMG/AMP criteria applied as specified by the Hearing Loss Expert Panel: PM2, PP1_S, PS4_P, PM5, PM1, PS3_P.</t>
  </si>
  <si>
    <t>Orphanet:ORPHA87884</t>
  </si>
  <si>
    <t>CN043648:Nonsyndromic hearing loss and deafness</t>
  </si>
  <si>
    <t>SCV000840524.1</t>
  </si>
  <si>
    <t>KCNQ4</t>
  </si>
  <si>
    <t>The c.151C&gt;T (p.Pro51Ser) variant in COCH has been reported to segregate with late onset progressive hearing loss and vestibular dysfunction in &gt; 25 family members (PP1_S; PMID: 9931344, 11332404). The variant meets PM2 and has been observed in at least 15 affected probands (PS4, PMID: 28733840, 16151338, 11332404). The allele frequency of the p.Pro51Ser variant is 0.001% (1/111716) of European chromosomes by the Genome Aggregation Database (http://gnomad.broadinstitute.org), which is a low enough frequency to award PM2 based on the thresholds defined by the ClinGen Hearing Loss Expert Panel for autosomal dominant hearing loss (PM2). Computational prediction tools and conservation analysis suggest that the p.Pro51Ser variant may impact the protein (PP3). In summary, this variant meets criteria to be classified as pathogenic for autosomal dominant hearing loss based on the ACMG/AMP criteria applied, as specified by the Hearing Loss Expert Panel: PP1_S, PS4, PM2, PP3.</t>
  </si>
  <si>
    <t>SCV000840518.1</t>
  </si>
  <si>
    <t>COCH</t>
  </si>
  <si>
    <t>Uncertain significance</t>
  </si>
  <si>
    <t>The c.355G&gt;A (p.Ala119Thr) variant in COCH has been reported in one Japanese individual with hearing loss, vestibular dysfunction, and a family history of hearing loss though no other affected family members were screened (PS4 not met; PMID: 14512963). The variant was absent from the Genome Aggregation Database (http://gnomad.broadinstitute.org) (PM2). A functional study demonstrates that this variant may not impact protein function (BS3_P; PMID: 25230692). In summary, the clinical significance of this variant is uncertain. ACMG/AMP criteria applied, as specified by the Hearing Loss Expert Panel: PM2, BS3_P.</t>
  </si>
  <si>
    <t>SCV000840508.1</t>
  </si>
  <si>
    <t>This variant was classified using modified ACMG criteria (ClinGen Expert Panel; manuscript in preparation). Please see a summary of the rules and criteria codes in the "ACMG variant classification (RASopathy)" document (assertion method column). The following criteria were met: PS2, PS3, PM2, PM6_Strong, PP2, PS$</t>
  </si>
  <si>
    <t>MedGen:C1843181</t>
  </si>
  <si>
    <t>C1843181:Noonan syndrome-like disorder with loose anagen hair 1</t>
  </si>
  <si>
    <t>SCV000616382.1</t>
  </si>
  <si>
    <t>SHOC2</t>
  </si>
  <si>
    <t>PTEN c.389G&gt;A (p.R130Q) meets criteria to be classified as pathogenic for PTEN Hamartoma Tumor syndrome in an autosomal dominant manner using modified ACMG criteria (Mester et al. 2018; manuscript in preparation). Please see a summary of the rules and criteria codes in the 'PTEN ACMG Specifications Summary' document (assertion method column). PM6_VS: At least four assumed de novo observations in a patient with the disease and no family history. (PMID 22595938, PMID 22327138, internal laboratory contributor(s) SCV000222111.11) PS3: Phosphatase activity &lt;50% of wild type (PMID 10866302) PS4: Probands with phenotype specificity score of 4-15.5 (PMID 26798346, PMID 17526801, PMID 23335809, PMID 22266152) PM1: Located at a residue within a catalytic motif as defined by the ClinGen PTEN Expert Panel. PM2: Absent in large sequenced populations (PMID 27535533). PP2: PTEN is defined by the PTEN Expert Panel as a gene that has a low rate of benign missense variation and where missense variants are a common mechanism of disease.</t>
  </si>
  <si>
    <t>Orphanet:ORPHA306498</t>
  </si>
  <si>
    <t>C1959582:PTEN hamartoma tumor syndrome</t>
  </si>
  <si>
    <t>SCV000840465.1</t>
  </si>
  <si>
    <t>PTEN</t>
  </si>
  <si>
    <t>PTEN c.-764G&gt;A (NC_000010.10:g.89623462G&gt;A) is currently classified as a variant of uncertain significance for PTEN Hamartoma Tumor syndrome in an autosomal dominant manner using modified ACMG criteria (Mester et al. 2018; manuscript in preparation). Please see a summary of the rules and criteria codes in the 'PTEN ACMG Specifications Summary' document (assertion method column). PM2: Present at extremely low (&lt;0.00001, 0.001%) allele frequency in the gnomAD cohort. (PMID 27535533).</t>
  </si>
  <si>
    <t>SCV000840498.1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</si>
  <si>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PM6, PS3</t>
  </si>
  <si>
    <t>MedGen:C1275081</t>
  </si>
  <si>
    <t>C1275081:Cardio-facio-cutaneous syndrome</t>
  </si>
  <si>
    <t>SCV000616538.1</t>
  </si>
  <si>
    <t>MAP2K2</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</si>
  <si>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PS2_Very Strong</t>
  </si>
  <si>
    <t>SCV000616539.1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</si>
  <si>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PS4_Supporting. Additional case-level data provided by: SCV000063166; SCV000207957; Zenker et al.</t>
  </si>
  <si>
    <t>MedGen:CN166718</t>
  </si>
  <si>
    <t>CN166718:Rasopathy</t>
  </si>
  <si>
    <t>SCV000616545.1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</si>
  <si>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PP1_Strong, PS3</t>
  </si>
  <si>
    <t>SCV000616540.1</t>
  </si>
  <si>
    <t>This variant was classified using modified ACMG criteria (ClinGen Expert Panel; manuscript in preparation). Please see a summary of the rules and criteria codes in the "ACMG variant classification (RASopathy)" document (assertion method column). The following criteria were met: PS3, PM6_Strong, PM2, PM1, PP3; PP2</t>
  </si>
  <si>
    <t>SCV000616370.1</t>
  </si>
  <si>
    <t>KRAS</t>
  </si>
  <si>
    <t>This variant was classified using modified ACMG criteria (ClinGen Expert Panel; manuscript in preparation). Please see a summary of the rules and criteria codes in the "ACMG variant classification (RASopathy)" document (assertion method column). The following criteria were met: PS3; PM6_Strong; PP1_Moderate</t>
  </si>
  <si>
    <t>MedGen:C0028326</t>
  </si>
  <si>
    <t>C0028326:Noonan syndrome</t>
  </si>
  <si>
    <t>SCV000616371.1</t>
  </si>
  <si>
    <t>This variant was classified using modified ACMG criteria (ClinGen Expert Panel; manuscript in preparation). Please see a summary of the rules and criteria codes in the "ACMG variant classification (RASopathy)" document (assertion method column). The following criteria were met: PS3; PM6_Strong; PM2; PP2, PP3, PM1</t>
  </si>
  <si>
    <t>SCV000616369.1</t>
  </si>
  <si>
    <t>This variant was classified using modified ACMG criteria (ClinGen Expert Panel; manuscript in preparation). Please see a summary of the rules and criteria codes in the "ACMG variant classification (RASopathy)" document (assertion method column). The following criteria were met: PS2; PM6_Strong; PS3; PS4_Moderate; PP2; PP3, PM1</t>
  </si>
  <si>
    <t>SCV000616367.1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</si>
  <si>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PS4_Moderate, PM2, PM6_Strong. Additional case-level data provided by: SCV000202928; GeneDx internal data; Zenker et al.</t>
  </si>
  <si>
    <t>SCV000616404.1</t>
  </si>
  <si>
    <t>This variant was classified using modified ACMG criteria (ClinGen Expert Panel; manuscript in preparation). Please see a summary of the rules and criteria codes in the "ACMG variant classification (RASopathy)" document (assertion method column). The following criteria were met: PS2; PS3; PM6_Strong; PS4; PM1; PM2; PP2; PP3</t>
  </si>
  <si>
    <t>MedGen:C0587248</t>
  </si>
  <si>
    <t>C0587248:Costello syndrome</t>
  </si>
  <si>
    <t>SCV000616364.1</t>
  </si>
  <si>
    <t>HRAS</t>
  </si>
  <si>
    <t>This variant was classified using modified ACMG criteria (ClinGen Expert Panel; manuscript in preparation). Please see a summary of the rules and criteria codes in the "ACMG variant classification (RASopathy)" document (assertion method column). The following criteria were met: PM6_Strong, PS3, PM1, PM2, PP3</t>
  </si>
  <si>
    <t>SCV000616366.1</t>
  </si>
  <si>
    <t>This variant was classified using modified ACMG criteria (ClinGen Expert Panel; manuscript in preparation). Please see a summary of the rules and criteria codes in the "ACMG variant classification (RASopathy)" document (assertion method column). The following criteria were met: PS2; PM6_Strong; PS4_Moderate; PM1; PM2; PP2; PP3</t>
  </si>
  <si>
    <t>SCV000616363.1</t>
  </si>
  <si>
    <t>This variant was classified using modified ACMG criteria (ClinGen Expert Panel; manuscript in preparation). Please see a summary of the rules and criteria codes in the "ACMG variant classification (RASopathy)" document (assertion method column). The following criteria were met: PM2; PM1; PM6; PP2; PP3; PS4_Supporting, PS1</t>
  </si>
  <si>
    <t>SCV000616365.1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</si>
  <si>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PM6_Strong, PS2</t>
  </si>
  <si>
    <t>SCV000616386.1</t>
  </si>
  <si>
    <t>SOS1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</si>
  <si>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PM2, PS2, PM6_Strong, PS3, PP1_Strong</t>
  </si>
  <si>
    <t>SCV000616374.1</t>
  </si>
  <si>
    <t>PTPN11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</si>
  <si>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PS3, PM6_Strong, PS3; PP1_Strong</t>
  </si>
  <si>
    <t>MedGen:C0175704</t>
  </si>
  <si>
    <t>C0175704:Noonan syndrome with multiple lentigines</t>
  </si>
  <si>
    <t>SCV000616375.1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</si>
  <si>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PS3, PP1_Strong</t>
  </si>
  <si>
    <t>SCV000616372.1</t>
  </si>
  <si>
    <t>This variant was classified using modified ACMG criteria (ClinGen Expert Panel; manuscript in preparation). Please see a summary of the rules and criteria codes in the "ACMG variant classification (RASopathy)" document (assertion method column). The following criteria were met: PP1_Moderate, PP2, PP3, PS4_Supporting, PM2, PM6_Strong, PS2. Additional case-level data provided by: SCV000057459; SCV000200027; SCV000265844; Zenker et al.; Cave et al.</t>
  </si>
  <si>
    <t>SCV000616410.1</t>
  </si>
  <si>
    <t>SCV000616530.1</t>
  </si>
  <si>
    <t>MAP2K1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</si>
  <si>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PS3, PS2_Very Strong</t>
  </si>
  <si>
    <t>SCV000616532.1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</si>
  <si>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PM1, PM2, PS3, PM6_Strong</t>
  </si>
  <si>
    <t>SCV000616378.1</t>
  </si>
  <si>
    <t>RAF1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</si>
  <si>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PM2, PM6, PS3</t>
  </si>
  <si>
    <t>SCV000616379.1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</si>
  <si>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PM2, PS2, PS3</t>
  </si>
  <si>
    <t>SCV000616381.1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</si>
  <si>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PM6, PS2, PS3</t>
  </si>
  <si>
    <t>SCV000616359.1</t>
  </si>
  <si>
    <t>BRAF</t>
  </si>
  <si>
    <t>SCV000616360.1</t>
  </si>
  <si>
    <t>SCV000616361.1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</si>
  <si>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PS3; PM6_Strong</t>
  </si>
  <si>
    <t>SCV000616362.1</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</si>
  <si>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met:PS3;PS4;PP1_ Strong;PM1;PM2;PM5;PP3</t>
  </si>
  <si>
    <t>MedGen:C0949658</t>
  </si>
  <si>
    <t>C0949658:Primary familial hypertrophic cardiomyopathy</t>
  </si>
  <si>
    <t>SCV000564413.2</t>
  </si>
  <si>
    <t>MYH7</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</si>
  <si>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met:PS2;PS3;PS4;PP1_ Strong;PM1;PM2;PP3</t>
  </si>
  <si>
    <t>MedGen:C0340429;MedGen:C0949658</t>
  </si>
  <si>
    <t>C0340429:Familial restrictive cardiomyopathy;C0949658:Primary familial hypertrophic cardiomyopathy</t>
  </si>
  <si>
    <t>SCV000564414.2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</si>
  <si>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met:PS4;PM1;PM2;PP1_Moderate;PP3</t>
  </si>
  <si>
    <t>SCV000564418.2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</si>
  <si>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met:PS4;PP1_ Strong;PM1;PM2;PM5;PM6;PP3;BP2</t>
  </si>
  <si>
    <t>SCV000564425.2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</si>
  <si>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met:PS4;PP1_ Strong;PM1;PM2;PP3</t>
  </si>
  <si>
    <t>SCV000564438.2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</si>
  <si>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met:PS4;PM1;PM2;PM5;PM6;PP1;PP3</t>
  </si>
  <si>
    <t>SCV000564427.2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</si>
  <si>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met:PS4;PP1_ Strong;PM1;PM2;PM5;PP3</t>
  </si>
  <si>
    <t>SCV000564412.2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</si>
  <si>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met:PS2;PS3;PS4;PP1_ Strong;PM1;PM2;PM5;PP3</t>
  </si>
  <si>
    <t>SCV000564421.2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</si>
  <si>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met:PS4;PP1_ Strong;PM1;PM2;PM6;PP3</t>
  </si>
  <si>
    <t>SCV000564420.2</t>
  </si>
  <si>
    <t>SCV000564422.2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</si>
  <si>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met:PS3;PP1_ Strong;PM1;PM2;PP3;PS4_ Supporting</t>
  </si>
  <si>
    <t>MedGen:C0007193</t>
  </si>
  <si>
    <t>C0007193:Primary dilated cardiomyopathy</t>
  </si>
  <si>
    <t>SCV000564417.2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</si>
  <si>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met:PS4;PP1_ Strong;PM1;PM2</t>
  </si>
  <si>
    <t>SCV000564434.2</t>
  </si>
  <si>
    <t>SCV000564437.2</t>
  </si>
  <si>
    <t>The filtering allele frequency of the p.Trp24X variant in the GJB2 gene is 0.38% (137/30782) of South Asian chromosomes by the Genome Aggregation Database (http://gnomad.broadinstitute.org; calculated by using inverse allele frequency at https://www.cardiodb.org/allelefrequencyapp/), which is a high enough frequency to be classified as likely benign based on the thresholds defined by the ClinGen Hearing Loss Expert Panel for autosomal recessive hearing loss variants (BS1). However, the ClinGen Hearing Loss Expert Panel believes that the evidence for the pathogenicity of this variant for nonsyndromic hearing loss outweighs the high allele frequency of the variant in population databases. Therefore, the BS1 code will not contribute to the overall classification. The p.Trp24X variant in GJB2 is predicted to cause a premature stop codon in the only exon of GJB2 that leads to a truncated or absent protein in a gene in which loss-of-function is an established mechanism (PVS1). This variant has been detected in patients with hearing loss in trans with at least 4 pathogenic or suspected-pathogenic variants (PM3_VS; PMID: 15070423, 24123366, 18941476, 9139825). A knock-in mouse model demonstrates that the p.Trp24X variant leads to the phenotype (PS3; PMID:18941476). In summary, this variant meets criteria to be classified as pathogenic for autosomal recessive nonsyndromic hearing loss based on the ACMG/AMP criteria applied, as specified by the Hearing Loss Expert Panel: PVS1, PM3_VS, PS3, BS1.</t>
  </si>
  <si>
    <t>SCV000840546.1</t>
  </si>
  <si>
    <t>GJB2</t>
  </si>
  <si>
    <t>The c.35delG variant in GJB2 is predicted to cause a premature stop codon in biologically-relevant-exon 2/2 that leads to a truncated or absent protein in a gene in which loss-of-function is an established mechanism (PVS1). This variant has been detected in patients with hearing loss in trans with at least 4 pathogenic or suspected-pathogenic variants (PM3_VS; PMID: 26445815). This variant was found to have a statistically higher prevalence in affected individuals over controls (PS4; PMID: 26969326, 25999548). The filtering allele frequency of the c.35delG variant in the GJB2 gene is 0.9% for European (Non-Finnish) chromosomes in the Genome Aggregation Database (1207/124552 with 95% CI), which is a high enough frequency to be classified as benign based on thresholds defined by the ClinGen Hearing Loss Expert Panel for autosomal recessive hearing loss variants (BA1). The ClinGen Hearing Loss Expert Panel believes that the evidence for the pathogenicity of this variant for hearing loss outweighs the high allele frequency of the variant in population databases. Therefore, the BA1 code will not contribute to the overall classification. In summary, this variant meets criteria to be classified as pathogenic for autosomal recessive non-syndromic hearing loss based on the ACMG/AMP criteria applied, as specified by the Hearing Loss Expert Panel: PVS1, PM3_VS, PS4, BA1.</t>
  </si>
  <si>
    <t>SCV000840537.1</t>
  </si>
  <si>
    <t>The filtering allele frequency of the p.Leu56ArgfsX26 variant in the GJB2 gene is 1.4% (165/10106) of Ashkenazi Jewish chromosomes by the Genome Aggregation Database (http://gnomad.broadinstitute.org; calculated by using inverse allele frequency at https://www.cardiodb.org/allelefrequencyapp/), which is a high enough frequency to be classified as benign based on thresholds defined by the ClinGen Hearing Loss Expert Panel for autosomal recessive nonsyndromic hearing loss variants (BA1). The ClinGen Hearing Loss Expert Panel believes that the evidence for the pathogenicity of this variant for nonsyndromic hearing loss outweighs the high allele frequency of the variant in population databases. Therefore, the BA1 code will not contribute to the overall classification. The p.Leu56ArgfsX26 variant in GJB2 is predicted to cause a premature stop codon in the only coding exon of the gene, leading to an absent protein in a gene in which loss-of-function is an established disease mechanism (PVS1). This variant has been detected in patients with hearing loss in trans with at least 4 pathogenic or suspected-pathogenic variants (PM3_VS; PMID: 24529908, 26096904, 24158611, 9285800, 17666888). In summary, this variant meets criteria to be classified as pathogenic for autosomal recessive nonsyndromic hearing loss based on the ACMG/AMP criteria applied, as specified by the Hearing Loss Expert Panel: PVS1, PM3_VS, BA1.</t>
  </si>
  <si>
    <t>SCV000840535.1</t>
  </si>
  <si>
    <t>The filtering allele frequency of the p.Leu79CysfsX3 variant in the GJB2 gene is 0.55% (121/ 18870) of East Asian chromosomes by the Genome Aggregation Database (http://gnomad.broadinstitute.org; calculated by using inverse allele frequency at https://www.cardiodb.org/allelefrequencyapp/), which is a high enough frequency to be classified as benign based on thresholds defined by the ClinGen Hearing Loss Expert Panel for autosomal recessive hearing loss variants (BS1). The ClinGen Hearing Loss Expert Panel believes that the evidence for the pathogenicity of this variant for nonsyndromic hearing loss outweighs the high allele frequency of the variant in population databases. Therefore, the BS1 code will not contribute to the overall classification. The p.Leu79CysfsX3 variant in GJB2 is predicted to cause a premature stop codon in the only exon of the gene, leading to absent protein in a gene in which loss-of-function is an established mechanism (PVS1). This variant has been detected in patients with hearing loss in trans with at least 4 pathogenic or suspected-pathogenic variants (PM3_VS; PMID: 10983956, 10633133). A dye transfer assay, a functional study, has shown that the variant impacts protein function (PS3_M; PMID: 12352684). In summary, this variant meets criteria to be classified as pathogenic for autosomal recessive nonsyndromic hearing loss based on the ACMG/AMP criteria applied, as specified by the Hearing Loss Expert Panel: PVS1, PM3_VS, PS3_M, BS1.</t>
  </si>
  <si>
    <t>SCV000840502.1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</si>
  <si>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PS3</t>
  </si>
  <si>
    <t>SCV000616380.1</t>
  </si>
  <si>
    <t>Likely benign</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</si>
  <si>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met:PP3;BS4</t>
  </si>
  <si>
    <t>not specified</t>
  </si>
  <si>
    <t>CN169374:not specified</t>
  </si>
  <si>
    <t>SCV000564447.2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</si>
  <si>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met:PS4;PM2;PP1;PP3</t>
  </si>
  <si>
    <t>SCV000564455.2</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</si>
  <si>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Auto-classified.</t>
  </si>
  <si>
    <t>SCV000616443.1</t>
  </si>
  <si>
    <t>SCV000616445.1</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</si>
  <si>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 BA1</t>
  </si>
  <si>
    <t>SCV000564467.2</t>
  </si>
  <si>
    <t>SCV000616466.1</t>
  </si>
  <si>
    <t>This variant was classified using modified ACMG criteria (ClinGen Expert Panel; manuscript in preparation). Please see a summary of the rules and criteria codes in the "ACMG variant classification (RASopathy)" document (assertion method column). The following criteria were met: BS2, BP2_Strong. Additional case-level data provided by: SCV000061615; SCV000057172</t>
  </si>
  <si>
    <t>SCV000616392.1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</si>
  <si>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PM6, PS2</t>
  </si>
  <si>
    <t>SCV000616358.1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</si>
  <si>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BP5, BP4, BP7. Additional case-level data provided by: SCV000057203; SCV000061570; SCV000112807</t>
  </si>
  <si>
    <t>SCV000616391.1</t>
  </si>
  <si>
    <t>SCV000616458.1</t>
  </si>
  <si>
    <t>SCV000616457.1</t>
  </si>
  <si>
    <t>This variant was classified using modified ACMG criteria (ClinGen Expert Panel; manuscript in preparation). Please see a summary of the rules and criteria codes in the "ACMG variant classification (RASopathy)" document (assertion method column). The following criteria were met: PM2, PM6, PP2, PP3. Additional case-level data provided by: SCV000112809; SCV000057229; SCV000197143</t>
  </si>
  <si>
    <t>SCV000616393.1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</si>
  <si>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PM6_Strong, PS3. Additional case-level data provided by: SCV000197137; SCV000057237</t>
  </si>
  <si>
    <t>SCV000616388.1</t>
  </si>
  <si>
    <t>SCV000616456.1</t>
  </si>
  <si>
    <t>SCV000616453.1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</si>
  <si>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SCV000058315; SCV000062146; SCV000196686</t>
  </si>
  <si>
    <t>SCV000616397.1</t>
  </si>
  <si>
    <t>This variant was classified using modified ACMG criteria (ClinGen Expert Panel; manuscript in preparation). Please see a summary of the rules and criteria codes in the "ACMG variant classification (RASopathy)" document (assertion method column). The following criteria were met: PP1, PP2, PP3, PS4_Supporting, PM1, PM2. Additional case-level data provided by: SCV000198374; SCV000207851</t>
  </si>
  <si>
    <t>SCV000616399.1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</si>
  <si>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BP5. Additional case-level data provided by: SCV000204177; SCV000207861</t>
  </si>
  <si>
    <t>SCV000616398.1</t>
  </si>
  <si>
    <t>This variant was classified using modified ACMG criteria (ClinGen Expert Panel; manuscript in preparation). Please see a summary of the rules and criteria codes in the "ACMG variant classification (RASopathy)" document (assertion method column). The following criteria were met: PM2, PS4_Supporting. Additional case-level data provided by: SCV000207855; SCV000188770</t>
  </si>
  <si>
    <t>SCV000616400.1</t>
  </si>
  <si>
    <t>SCV000616472.1</t>
  </si>
  <si>
    <t>SCV000616471.1</t>
  </si>
  <si>
    <t>SCV000616469.1</t>
  </si>
  <si>
    <t>SCV000616468.1</t>
  </si>
  <si>
    <t>SCV000616467.1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</si>
  <si>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PM2, PM6_Strong, PS3. Additional case-level data provided by: SCV000198473; SCV000207881; SCV000253709; SCV000207633; Cave et al.; Zenker et al.</t>
  </si>
  <si>
    <t>SCV000616405.1</t>
  </si>
  <si>
    <t>This variant was classified using modified ACMG criteria (ClinGen Expert Panel; manuscript in preparation). Please see a summary of the rules and criteria codes in the "ACMG variant classification (RASopathy)" document (assertion method column). The following criteria were met: PS2, PM2, PM5, PP3; PP2</t>
  </si>
  <si>
    <t>SCV000616368.1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</si>
  <si>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PM2, PS4_Moderate. Additional case-level data provided by: SCV000057357; SCV000061283; Zenker et al.</t>
  </si>
  <si>
    <t>SCV000616407.1</t>
  </si>
  <si>
    <t>This variant was classified using modified ACMG criteria (ClinGen Expert Panel; manuscript in preparation). Please see a summary of the rules and criteria codes in the "ACMG variant classification (RASopathy)" document (assertion method column). The following criteria were met: BP5, PP2. Additional case-level data provided by: SCV000057386; SCV000228999</t>
  </si>
  <si>
    <t>SCV000616408.1</t>
  </si>
  <si>
    <t>This variant was classified using modified ACMG criteria (ClinGen Expert Panel; manuscript in preparation). Please see a summary of the rules and criteria codes in the "ACMG variant classification (RASopathy)" document (assertion method column). The following criteria were met: BS1. Auto-classified.</t>
  </si>
  <si>
    <t>SCV000616444.1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</si>
  <si>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PM2, PM6; PS3</t>
  </si>
  <si>
    <t>SCV000616373.1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</si>
  <si>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SCV000057399; SCV000061311; SCV000248623; SCV000206755; SCV000207666</t>
  </si>
  <si>
    <t>SCV000616411.1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</si>
  <si>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PM1, PM2, PM6_Strong, PS4_Moderate. Additional case-level data provided by: SCV000057404; SCV000061319; SCV000207687; Zenker et al.; Cave et al.</t>
  </si>
  <si>
    <t>SCV000616414.1</t>
  </si>
  <si>
    <t>This variant was classified using modified ACMG criteria (ClinGen Expert Panel; manuscript in preparation). Please see a summary of the rules and criteria codes in the "ACMG variant classification (RASopathy)" document (assertion method column). The following criteria were met: PP1, PP2, PS4_Moderate, PM1, PS2_Very Strong , PM6_Strong, PS3 . Additional case-level data provided by: SCV000203366; SCV000061320; SCV000057406; SCV000207688; Zenker et al.; Cave et al.</t>
  </si>
  <si>
    <t>SCV000616412.1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</si>
  <si>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SCV000058299; SCV000206746</t>
  </si>
  <si>
    <t>SCV000616413.1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</si>
  <si>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SCV000057424; SCV000200021</t>
  </si>
  <si>
    <t>SCV000616415.1</t>
  </si>
  <si>
    <t>SCV000616450.1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</si>
  <si>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PM2, PM6_Strong, PS3</t>
  </si>
  <si>
    <t>SCV000616376.1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</si>
  <si>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PM2, PM6_Strong, PM5_Strong. Additional case-level data provided by: SCV000057460; SCV000058286; Cave et al.</t>
  </si>
  <si>
    <t>SCV000616416.1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</si>
  <si>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BP4. Additional case-level data provided by: SCV000262218; SCV000057463; SCV000058287; SCV000061284</t>
  </si>
  <si>
    <t>SCV000616417.1</t>
  </si>
  <si>
    <t>This variant was classified using modified ACMG criteria (ClinGen Expert Panel; manuscript in preparation). Please see a summary of the rules and criteria codes in the "ACMG variant classification (RASopathy)" document (assertion method column). The following criteria were met: BS4; BP5. Additional case-level data provided by: SCV000218672; SCV000061358</t>
  </si>
  <si>
    <t>SCV000616418.1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</si>
  <si>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BP5, BS4. Additional case-level data provided by: SCV000171283; SCV000227278</t>
  </si>
  <si>
    <t>SCV000616419.1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</si>
  <si>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SCV000061348; SCV000209004</t>
  </si>
  <si>
    <t>SCV000616420.1</t>
  </si>
  <si>
    <t>SCV000616377.1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</si>
  <si>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PM5, PM6. Additional case-level data provided by: SCV000206160; SCV000209015; SCV000264162</t>
  </si>
  <si>
    <t>SCV000616421.1</t>
  </si>
  <si>
    <t>This variant was classified using modified ACMG criteria (ClinGen Expert Panel; manuscript in preparation). Please see a summary of the rules and criteria codes in the "ACMG variant classification (RASopathy)" document (assertion method column). The following criteria were met: PP1, PP2, PP3, PS4_Supporting, PM1, PM2, PS3; PM5_Strong, PM6_Strong. Additional case-level data provided by: SCV000061360; SCV000209017; Zenker et al.; Cave et al.</t>
  </si>
  <si>
    <t>SCV000616422.1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</si>
  <si>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PM5, PM6. Additional case-level data provided by: SCV000061370; SCV000209021; SCV000207170</t>
  </si>
  <si>
    <t>SCV000616423.1</t>
  </si>
  <si>
    <t>SCV000616487.1</t>
  </si>
  <si>
    <t>SCV000616486.1</t>
  </si>
  <si>
    <t>This variant was classified using modified ACMG criteria (ClinGen Expert Panel; manuscript in preparation). Please see a summary of the rules and criteria codes in the "ACMG variant classification (RASopathy)" document (assertion method column). The following criteria were met: BP4. Additional case-level data provided by: SCV000200036; SCV000209006</t>
  </si>
  <si>
    <t>SCV000616424.1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</si>
  <si>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PS4_Moderate, PM2, PM6_Strong. Additional case-level data provided by: SCV000061333; SCV000209024; Zenker et al.</t>
  </si>
  <si>
    <t>SCV000616425.1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</si>
  <si>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PM2. Additional case-level data provided by: SCV000209025; SCV000207671</t>
  </si>
  <si>
    <t>SCV000616426.1</t>
  </si>
  <si>
    <t>SCV000616484.1</t>
  </si>
  <si>
    <t>SCV000616483.1</t>
  </si>
  <si>
    <t>SCV000616480.1</t>
  </si>
  <si>
    <t>SCV000616479.1</t>
  </si>
  <si>
    <t>SCV000616478.1</t>
  </si>
  <si>
    <t>This variant was classified using modified ACMG criteria (ClinGen Expert Panel; manuscript in preparation). Please see a summary of the rules and criteria codes in the "ACMG variant classification (RASopathy)" document (assertion method column). The following criteria were met: none. Additional case-level data provided by: SCV000113449; SCV000209050</t>
  </si>
  <si>
    <t>SCV000616428.1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</si>
  <si>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BP5. Additional case-level data provided by: SCV000062455; SCV000209046</t>
  </si>
  <si>
    <t>SCV000616429.1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</si>
  <si>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SCV000204530, SCV000209065, SCV000224487</t>
  </si>
  <si>
    <t>SCV000616436.1</t>
  </si>
  <si>
    <t>This variant was classified using modified ACMG criteria (ClinGen Expert Panel; manuscript in preparation). Please see a summary of the rules and criteria codes in the "ACMG variant classification (RASopathy)" document (assertion method column). The following criteria were met: BS4, BP5, BP4. Additional case-level data provided by: SCV000062187; SCV000209091; SCV000218752</t>
  </si>
  <si>
    <t>SCV000616432.1</t>
  </si>
  <si>
    <t>SCV000616528.1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</si>
  <si>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PS4_Moderate, PM2, PM6, PS2, PS3. Additional case-level data provided by: SCV000062224; SCV000209088, Cave et al.</t>
  </si>
  <si>
    <t>SCV000616437.1</t>
  </si>
  <si>
    <t>SCV000616383.1</t>
  </si>
  <si>
    <t>SCV000616523.1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</si>
  <si>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SCV000062247, SCV000209099, SCV000263041, SCV000207694</t>
  </si>
  <si>
    <t>SCV000616434.1</t>
  </si>
  <si>
    <t>SCV000616384.1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</si>
  <si>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BP4, BP5, BP7. Additional case-level data provided by: SCV000062189; SCV000224969; SCV000259254; SCV000206710; SCV000207693</t>
  </si>
  <si>
    <t>SCV000616438.1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</si>
  <si>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PS2, PS3, PM6_Strong</t>
  </si>
  <si>
    <t>SCV000616385.1</t>
  </si>
  <si>
    <t>SCV000616519.1</t>
  </si>
  <si>
    <t>SCV000616518.1</t>
  </si>
  <si>
    <t>SCV000616516.1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</si>
  <si>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SCV000062207; SCV000225875; SCV000260509; SCV000206740</t>
  </si>
  <si>
    <t>SCV000616435.1</t>
  </si>
  <si>
    <t>SCV000616514.1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</si>
  <si>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SCV000062210; SCV000209073; SCV000226115</t>
  </si>
  <si>
    <t>SCV000616439.1</t>
  </si>
  <si>
    <t>SCV000616387.1</t>
  </si>
  <si>
    <t>SCV000616511.1</t>
  </si>
  <si>
    <t>SCV000616510.1</t>
  </si>
  <si>
    <t>SCV000616509.1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</si>
  <si>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SCV000062223, SCV000171778, SCV000226931, SCV000206721</t>
  </si>
  <si>
    <t>SCV000616440.1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</si>
  <si>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PM1, PM2, PM6. Additional case-level data provided by: SCV000061255.</t>
  </si>
  <si>
    <t>SCV000616533.1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</si>
  <si>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t>
  </si>
  <si>
    <t>SCV000616553.1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</si>
  <si>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BP5. Additional case-level data provided by: SCV000207935; SCV000061262.</t>
  </si>
  <si>
    <t>SCV000616535.1</t>
  </si>
  <si>
    <t>SCV000616556.1</t>
  </si>
  <si>
    <t>SCV000616557.1</t>
  </si>
  <si>
    <t>SCV000616560.1</t>
  </si>
  <si>
    <t>SCV000616588.1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</si>
  <si>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PM2, PM6. Additional case-level data provided by: SCV000061249; SCV000207949.</t>
  </si>
  <si>
    <t>SCV000616537.1</t>
  </si>
  <si>
    <t>SCV000616531.1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</si>
  <si>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Additional case-level data provided by: SCV000204231; SCV000207977.</t>
  </si>
  <si>
    <t>SCV000616542.1</t>
  </si>
  <si>
    <t>SCV000616585.1</t>
  </si>
  <si>
    <t>SCV000616583.1</t>
  </si>
  <si>
    <t>SCV000616580.1</t>
  </si>
  <si>
    <t>SCV000616576.1</t>
  </si>
  <si>
    <t>SCV000616575.1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</si>
  <si>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PS4_Supporting, PM2, PM6_Strong. Additional case-level data provided by: SCV000207959; SCV000204213.</t>
  </si>
  <si>
    <t>SCV000616543.1</t>
  </si>
  <si>
    <t>SCV000616574.1</t>
  </si>
  <si>
    <t>This variant was classified using modified ACMG criteria (ClinGen Expert Panel; manuscript in preparation). Please see a summary of the rules and criteria codes in the "ACMG variant classification (RASopathy)" document (assertion method column). The following criteria were met: BS1.</t>
  </si>
  <si>
    <t>SCV000616571.1</t>
  </si>
  <si>
    <t>SCV000616570.1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</si>
  <si>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BP5. Additional case-level data provided by: SCV000207963; SCV000063184.</t>
  </si>
  <si>
    <t>SCV000616548.1</t>
  </si>
  <si>
    <t>SCV000616568.1</t>
  </si>
  <si>
    <t>SCV000616566.1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</si>
  <si>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SCV000204180; SCV000252871.</t>
  </si>
  <si>
    <t>SCV000616547.1</t>
  </si>
  <si>
    <t>SCV000616561.1</t>
  </si>
  <si>
    <t>SCV000616454.1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</si>
  <si>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SCV000058314, SCV000061946, SCV000170024, SCV000207637</t>
  </si>
  <si>
    <t>SCV000616402.1</t>
  </si>
  <si>
    <t>PTEN c.235G&gt;A (p.A79T) meets criteria to be classified as likely benign for PTEN Hamartoma Tumor syndrome in an autosomal dominant manner using modified ACMG criteria (Mester et al. 2018; manuscript in preparation). Please see a summary of the rules and criteria codes in the 'PTEN ACMG Specifications Summary' document (assertion method column). BS1: Allele frequency of 0.0045 (0.45%, 9/1984 alleles) in the GME variome. (PMID 27428751) BS2_P: Meets criteria for BS2 (observed in the homozygous state in at least one healthy or PHTS-unaffected individual) but BS1 is also applied. (Internal laboratory contributor(s) SCV000222198.12) PP2: PTEN is defined by the PTEN Expert Panel as a gene that has a low rate of benign missense variation and where missense variants are a common mechanism of disease.</t>
  </si>
  <si>
    <t>SCV000840467.1</t>
  </si>
  <si>
    <t>SCV000564470.2</t>
  </si>
  <si>
    <t>SCV000564499.2</t>
  </si>
  <si>
    <t>SCV000564498.2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</si>
  <si>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met:PM1;PM2;PM6;PS4_Moderate</t>
  </si>
  <si>
    <t>SCV000564410.2</t>
  </si>
  <si>
    <t>SCV000564496.2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</si>
  <si>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met:PS4;PM1;PM2;PM5;PM6;PP3</t>
  </si>
  <si>
    <t>SCV000564415.2</t>
  </si>
  <si>
    <t>SCV000564495.2</t>
  </si>
  <si>
    <t>SCV000564494.2</t>
  </si>
  <si>
    <t>SCV000564493.2</t>
  </si>
  <si>
    <t>SCV000564507.2</t>
  </si>
  <si>
    <t>SCV000564419.2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</si>
  <si>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met:BA1;BP4</t>
  </si>
  <si>
    <t>SCV000564423.2</t>
  </si>
  <si>
    <t>SCV000564424.2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</si>
  <si>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met:PM1;BP2</t>
  </si>
  <si>
    <t>SCV000564429.2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</si>
  <si>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met:PS2;PM1;PM2;PP3;PS4_ Supporting</t>
  </si>
  <si>
    <t>MedGen:C0340429</t>
  </si>
  <si>
    <t>C0340429:Familial restrictive cardiomyopathy</t>
  </si>
  <si>
    <t>SCV000564430.2</t>
  </si>
  <si>
    <t>SCV000564491.2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</si>
  <si>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met:PS4;PM2;PM4;PP1</t>
  </si>
  <si>
    <t>SCV000564431.2</t>
  </si>
  <si>
    <t>SCV000564490.2</t>
  </si>
  <si>
    <t>SCV000564506.2</t>
  </si>
  <si>
    <t>SCV000564436.2</t>
  </si>
  <si>
    <t>SCV000564489.2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</si>
  <si>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met:PM2;PM4;PP1_Moderate;PS4_ Supporting</t>
  </si>
  <si>
    <t>SCV000564439.2</t>
  </si>
  <si>
    <t>SCV000564488.2</t>
  </si>
  <si>
    <t>SCV000564466.2</t>
  </si>
  <si>
    <t>SCV000564487.2</t>
  </si>
  <si>
    <t>SCV000564505.2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</si>
  <si>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met:BA1;BP7</t>
  </si>
  <si>
    <t>SCV000564440.2</t>
  </si>
  <si>
    <t>SCV000564486.2</t>
  </si>
  <si>
    <t>SCV000564485.2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</si>
  <si>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met:PM2;PS4_Moderate;PP3</t>
  </si>
  <si>
    <t>SCV000564443.2</t>
  </si>
  <si>
    <t>SCV000564504.2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</si>
  <si>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met:PP3</t>
  </si>
  <si>
    <t>SCV000577981.3</t>
  </si>
  <si>
    <t>SCV000564469.2</t>
  </si>
  <si>
    <t>SCV000564484.2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</si>
  <si>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t>
  </si>
  <si>
    <t>SCV000564444.2</t>
  </si>
  <si>
    <t>SCV000564445.2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</si>
  <si>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met:PM2;PM4;PP1;PS4_ Supporting</t>
  </si>
  <si>
    <t>MedGen:C0013481</t>
  </si>
  <si>
    <t>C0013481:Ebstein's anomaly of the tricuspid valve</t>
  </si>
  <si>
    <t>SCV000564446.2</t>
  </si>
  <si>
    <t>SCV000564483.2</t>
  </si>
  <si>
    <t>SCV000564468.2</t>
  </si>
  <si>
    <t>SCV000564482.2</t>
  </si>
  <si>
    <t>SCV000564481.2</t>
  </si>
  <si>
    <t>SCV000564480.2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</si>
  <si>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met:PS4;PM2;PP3</t>
  </si>
  <si>
    <t>SCV000564449.2</t>
  </si>
  <si>
    <t>SCV000564450.2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</si>
  <si>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met:PM2;PP3;PS4_ Supporting</t>
  </si>
  <si>
    <t>SCV000564451.2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</si>
  <si>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met:PS4;PM2;PP1</t>
  </si>
  <si>
    <t>SCV000564407.2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</si>
  <si>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met:PM2;PS4_ Supporting;BP7</t>
  </si>
  <si>
    <t>SCV000564452.2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</si>
  <si>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met:PP3;BS1</t>
  </si>
  <si>
    <t>SCV000577982.3</t>
  </si>
  <si>
    <t>SCV000564479.2</t>
  </si>
  <si>
    <t>SCV000564464.2</t>
  </si>
  <si>
    <t>SCV000564478.2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</si>
  <si>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met:PM2;PVS1_Moderate</t>
  </si>
  <si>
    <t>SCV000564453.2</t>
  </si>
  <si>
    <t>SCV000564477.2</t>
  </si>
  <si>
    <t>SCV000564476.2</t>
  </si>
  <si>
    <t>SCV000564475.2</t>
  </si>
  <si>
    <t>SCV000564503.2</t>
  </si>
  <si>
    <t>SCV000564454.2</t>
  </si>
  <si>
    <t>SCV000564474.2</t>
  </si>
  <si>
    <t>SCV000564473.2</t>
  </si>
  <si>
    <t>SCV000564456.2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</si>
  <si>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met:PM2;PM6;PP3;PS4_ Supporting</t>
  </si>
  <si>
    <t>SCV000564459.2</t>
  </si>
  <si>
    <t>SCV000564460.2</t>
  </si>
  <si>
    <t>SCV000564461.2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</si>
  <si>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met:PM2;PM6;PP3</t>
  </si>
  <si>
    <t>SCV000564462.2</t>
  </si>
  <si>
    <t>SCV000564472.2</t>
  </si>
  <si>
    <t>SCV000564463.2</t>
  </si>
  <si>
    <t>SCV000564502.2</t>
  </si>
  <si>
    <t>SCV000564471.2</t>
  </si>
  <si>
    <t>SCV000564409.2</t>
  </si>
  <si>
    <t>SCV000564500.2</t>
  </si>
  <si>
    <t>The filtering allele frequency of the p.Arg336His variant in the MYO7A gene is 0.20% (275/126030) of European chromosomes by the Genome Aggregation Database (http://gnomad.broadinstitute.org; calculated by using inverse allele frequency at https://www.cardiodb.org/allelefrequencyapp/), which is a higher frequency than would be expected for an autosomal recessive pathogenic hearing loss variant based on the thresholds defined by the ClinGen Hearing Loss Expert Panel (BS1_Supporting). Computational prediction tools and conservation analysis suggest that the p.Arg336His variant may impact the protein (PP3). In summary, the clinical significance of this variant is uncertain. ACMG/AMG criteria applied: PP3, BS1_Supporting.</t>
  </si>
  <si>
    <t>SCV000840517.1</t>
  </si>
  <si>
    <t>MYO7A</t>
  </si>
  <si>
    <t>The filtering allele frequency of the p.Tyr108= variant in the MYO7A gene is 1.45% (300/18658) of East Asian chromosomes by the Genome Aggregation Database (http://gnomad.broadinstitute.org; calculated by using inverse allele frequency at https://www.cardiodb.org/allelefrequencyapp/), which is a high enough frequency to be classified as benign based on thresholds defined by the ClinGen Hearing Loss Expert Panel for autosomal dominant hearing loss variants (BA1).</t>
  </si>
  <si>
    <t>SCV000840542.1</t>
  </si>
  <si>
    <t>The filtering allele frequency of the c.3503+12_3503+33del (p.Gly1172GlufsX34) variant in the MYO7A gene is 50.8% (11084/21494) of European (Finnish) chromosomes by the Genome Aggregation Database (http://gnomad.broadinstitute.org; calculated by using inverse allele frequency at https://www.cardiodb.org/allelefrequencyapp/), which is a high enough frequency to be classified as benign based on thresholds defined by the ClinGen Hearing Loss Expert Panel for autosomal recessive hearing loss variants (BA1).</t>
  </si>
  <si>
    <t>SCV000840521.1</t>
  </si>
  <si>
    <t>This variant has been detected in patients with hearing loss in trans with at least 4 pathogenic or suspected-pathogenic variants (PM3_VeryStrong; PMID: 25372295, 23638949, 25468468, 24338212, 25394566, 19786220, 19017801, 27541434, 21366435, 17309986, 24007330, 24224479, 21961810, 2844304, 19509082, 15811013). The p.Thr410Met variant in SLC26A4 has been reported to segregate in an autosomal recessive pattern with hearing loss in at least 7 family members (PP1_Strong; PMID: 19017801, 9618167, 15811013). Computational prediction tools and conservation analysis suggest that the p.Thr410Met variant may impact the protein (PP3). At least one patient with a variant in this gene displayed features of EVA or Mondini malformation (PP4; PMID: 15355436, 15811013). The allele frequency of the p.Thr410Met variant in the SLC26A4 gene is 0.062% (19/30782) of South Asian chromosomes by the Genome Aggregation Database (http://gnomad.broadinstitute.org), which is a low enough frequency to award PM2_Supporting based on the thresholds defined by the ClinGen Hearing Loss Expert Panel for autosomal recessive hearing loss (PM2_Supporting). In summary, this variant meets criteria to be classified as pathogenic for autosomal recessive Pendred syndrome based on the ACMG/AMP criteria applied, as specified by the Hearing Loss Expert Panel: PM3_VS, PP1_S, PP3, PS3_P, PM2_P, PP4.</t>
  </si>
  <si>
    <t>SCV000840510.1</t>
  </si>
  <si>
    <t>The filtering allele frequency of the p.Ile455Phe variant in the SLC26A4 gene is 3% (981/30778) of South Asian chromosomes by the Genome Aggregation Database (http://gnomad.broadinstitute.org; calculated by using inverse allele frequency at https://www.cardiodb.org/allelefrequencyapp/), which is a high frequency that is consistent with benign classification based on thresholds defined by the ClinGen Hearing Loss Expert Panel for autosomal recessive hearing loss variants (BA1).</t>
  </si>
  <si>
    <t>SCV000840540.1</t>
  </si>
  <si>
    <t>The allele frequency of the p.Thr764Met variant in SLC26A4 is 0.01% (3/24024) of African alleles and 0.007% (9/126592) of European (Non-Finnish) alleles by the Genome Aggregation Database (http://gnomad.broadinstitute.org), which is a low enough frequency to award PM2_Supporting based on the thresholds defined by the ClinGen Hearing Loss Expert Panel for autosomal recessive hearing loss (PM2_P). However, rarity/absence alone does not support a pathogenic classification. In summary, the clinical significance of this variant is uncertain. ACMG/AMP criteria applied, as specified by the Hearing Loss Expert Panel: PM2_P.</t>
  </si>
  <si>
    <t>SCV000840520.1</t>
  </si>
  <si>
    <t>This variant has been detected in 4 patients with hearing loss in trans with p.Val1570Ile, p.Thr416Pro, c.-4+1&gt;C and p.Thr193Ile (PM3_VeryStrong; Partners LMM unpublished internal data, PMID: 26969326, Karen Avraham Lab internal data SCV000282015.2). Of note, the variant has also been observed in heterozygosity in two individuals with enlarged vestibular aqueduct, in which a second allele was not identified (PMID: 16570074, 10700480), however, this is not uncommon for patients with hearing loss due to SLC26A4. The p.Leu117Phe variant in SLC26A4 has been reported to segregate with hearing loss in at least 5 affected and 4 unaffected family members, across 2 Ashkenazi Jewish families with hearing loss (PP1_Strong; Karen Avraham Lab internal data SCV000282016.1, SCV000282017.1). At least four probands with the p.Leu117Phe variant in compound heterozygosity with a second pathogenic or suspected-pathogenic SLC26A4 variant displayed features of EVA (PP4; Partners LMM unpublished internal data, PMID: 26969326). Computational prediction analysis using REVEL suggests that the variant may impact the protein (PP3). A functional study demonstrated that this variant may not impact localization or the iodide efflux capacity (BS3_Supporting; PMID: 27771369, 11932316), however, the functional may not assess all ion transport functions of the protein and/or ensure that the assay reflects the true biological environment and therefore the ClinGen Hearing Loss Expert Panel (HL EP) chose not to consider this evidence fully in conflict with the pathogenic evidence. The filtering allele frequency of the p.Leu117Phe variant in the SLC26A4 gene is 0.4% for Ashkenazi Jewish chromosomes by the Genome Aggregation Database (52/10150 with 95% CI) based on thresholds defined by the ClinGen HL EP for autosomal recessive Pendred syndrome variants (BS1). However, given the lack of understanding of Pendred syndrome prevalence in the Ashkenazi Jewish population and the finding that a study of ~10,000 Jewish hearing individuals detected no homozygotes (Karen Avraham Lab internal data SCV000282015.2) this allele frequency was not considered strong enough conflicting evidence to counter the pathogenic evidence. In summary, this variant has been classified as likely pathogenic for autosomal recessive Pendred syndrome based on the full set of evidence described above. ACMG/AMP criteria applied, as specified by the Hearing Loss Expert Panel: PM3_VeryStrong, PP1_Strong, PP4, PP3, BS1, BS3_Supporting.</t>
  </si>
  <si>
    <t>SCV000840507.1</t>
  </si>
  <si>
    <t>The filtering allele frequency of the p.Ala1898Ser variant in the SLC26A4 gene is 1.2% (324/24040) of African chromosomes by the Genome Aggregation Database (http://gnomad.broadinstitute.org; calculated by using inverse allele frequency at https://www.cardiodb.org/allelefrequencyapp/), which is a high enough frequency to be classified as benign based on thresholds defined by the ClinGen Hearing Loss Expert Panel for autosomal recessive hearing loss variants (BA1).</t>
  </si>
  <si>
    <t>SCV000840504.1</t>
  </si>
  <si>
    <t>The allele frequency of the p.Leu236Val variant in the SLC26A4 gene is 0.027% (9/33580) of Latino chromosomes by the Genome Aggregation Database (http://gnomad.broadinstitute.org), which is a low enough frequency to apply PM2_Supporting based on the thresholds defined by the ClinGen Hearing Loss Expert Panel for autosomal recessive Pendred syndrome (PM2_P). This variant has been detected in 1 proband with hearing loss in trans with a pathogenic variant (PM3; Partners LMM internal data SCV000060159.5). A different pathogenic missense variant (p.Leu236Pro) has been previously identified at this codon of SLC26A4 which may indicate that this residue is critical to the function of the protein (PM5; ClinVar Variation ID 4817). The variant has been reported to segregate with hearing loss in two affected family members (PP1, Partners LMM internal data SCV000060159.5). At least one patient with a variant in this gene displayed features of hearing loss with temporal bone abnormality (PP4; Partners LMM internal data SCV000060159.5). In summary, this variant meets criteria to be classified as likely pathogenic for autosomal recessive Pendred syndrome based on the ACMG/AMP criteria applied, as specified by the Hearing Loss Expert Panel: PM5, PM3, PM2_P, PP1, PP4.</t>
  </si>
  <si>
    <t>SCV000840500.1</t>
  </si>
  <si>
    <t>SCV000616558.1</t>
  </si>
  <si>
    <t>This variant was classified using modified ACMG criteria (ClinGen Expert Panel; manuscript in preparation). Please see a summary of the rules and criteria codes in the "ACMG variant classification (RASopathy)" document (assertion method column). The following criteria were met: PP2, PP3, PS4_Supporting, PM2, PM6_Strong. Additional case-level data provided by: SCV000061251; SCV000207940; Cave et al.</t>
  </si>
  <si>
    <t>SCV000616534.1</t>
  </si>
  <si>
    <t>SCV000616550.1</t>
  </si>
  <si>
    <t>SCV000616552.1</t>
  </si>
  <si>
    <t>SCV000616554.1</t>
  </si>
  <si>
    <t>This variant was classified using modified ACMG criteria (ClinGen Expert Panel; manuscript in preparation). Please see a summary of the rules and criteria codes in the "ACMG variant classification (RASopathy)" document (assertion method column). The following criteria were met: BS3, BP5. Additional case-level data provided by: SCV000061285; SCV000208999; SCV000207690; Cave et al.</t>
  </si>
  <si>
    <t>SCV000616409.1</t>
  </si>
  <si>
    <t>SCV000616441.1</t>
  </si>
  <si>
    <t>SCV000616477.1</t>
  </si>
  <si>
    <t>The filtering allele frequency of the p.Gly12Cys variant in the GJB2 gene is 0.32% (129/34098) of Latino chromosomes by the Genome Aggregation Database (http://gnomad.broadinstitute.org; calculated by using inverse allele frequency at https://www.cardiodb.org/allelefrequencyapp/). This is a high enough frequency that, in absence of conflicting data, might warrant a likely benign classification based on the thresholds defined by the ClinGen Hearing Loss Expert Panel for autosomal recessive hearing loss variants (BS1). However, based on the evidence outline below, the ClinGen Hearing Loss Expert Panel believes that the evidence for the pathogenicity of this variant for nonsyndromic hearing loss outweighs its high allele frequency in population databases. Therefore, the BS1 code will not contribute to the overall classification. This variant has been detected in patients with hearing loss in trans with at least 4 pathogenic or suspected-pathogenic variants (PM3_VS; Partners LMM internal data SCV000061501.5). The p.Gly12Cys variant has also been reported in the literature in 10 individuals with hearing loss; however, a variant affecting the remaining DFNB1 allele was not reported (PMID: 15365987, 17041943, 17666888, 25288386, 26969326). A different pathogenic missense variant (p.Gly12Val) has been previously identified at this codon of GJB2 which may indicate that this residue is critical to the function of the protein (PM5; ClinVar Variation ID 21387). Computational prediction tools and conservation analysis suggest that the p.Gly12Cys variant may impact the protein (PP3). In summary, this variant meets criteria to be classified as likely pathogenic for autosomal recessive nonsyndromic hearing loss based on the ACMG/AMP criteria applied as specified by the Hearing Loss Expert Panel: PM3_VS, PM5, PP3, BS1.</t>
  </si>
  <si>
    <t>SCV000840536.1</t>
  </si>
  <si>
    <t>SCV000616460.1</t>
  </si>
  <si>
    <t>SCV000616464.1</t>
  </si>
  <si>
    <t>SCV000616463.1</t>
  </si>
  <si>
    <t>SCV000616462.1</t>
  </si>
  <si>
    <t>This variant was classified using modified ACMG criteria (ClinGen Expert Panel; manuscript in preparation). Please see a summary of the rules and criteria codes in the "ACMG variant classification (RASopathy)" document (assertion method column). The following criteria were met: BS2, BP4. Additional case-level data provided by: SCV000061629; SCV000207745</t>
  </si>
  <si>
    <t>SCV000616390.1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</si>
  <si>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Additional case-level data provided by: SCV000061630; SCV000207751</t>
  </si>
  <si>
    <t>SCV000616389.1</t>
  </si>
  <si>
    <t>SCV000616476.1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</si>
  <si>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BP5. Additional case-level data provided by: SCV000061947, SCV000207865</t>
  </si>
  <si>
    <t>SCV000616406.1</t>
  </si>
  <si>
    <t>The filtering allele frequency of the p.Glu159Lys variant in the MYO6 gene is 0.7% for Ashkenazi Jewish chromosomes in the Genome Aggregation Database (91/10146 with 95%CI), which is a high enough frequency to be classified as benign based on thresholds defined by the ClinGen Hearing Loss Expert Panel for autosomal dominant hearing loss variants (BA1).</t>
  </si>
  <si>
    <t>SCV000840548.1</t>
  </si>
  <si>
    <t>MYO6</t>
  </si>
  <si>
    <t>This variant was classified using modified ACMG criteria (ClinGen Expert Panel; manuscript in preparation). Please see a summary of the rules and criteria codes in the "ACMG variant classification (RASopathy)" document (assertion method column). The following criteria were met: BP4,BP5,BP7. Additional case-level data provided by: SCV000062144; SCV000168832</t>
  </si>
  <si>
    <t>SCV000616401.1</t>
  </si>
  <si>
    <t>The filtering allele frequency of the p.Arg317Gly variant in the TECTA gene is 67.5% (16434/24006) of African chromosomes by the Genome Aggregation Database (http://gnomad.broadinstitute.org; calculated by using inverse allele frequency at https://www.cardiodb.org/allelefrequencyapp/), which is a high enough frequency to be classified as benign based on thresholds defined by the ClinGen Hearing Loss Expert Panel for autosomal dominant and autosomal recessive hearing loss variants (BA1).</t>
  </si>
  <si>
    <t>SCV000840516.1</t>
  </si>
  <si>
    <t>TECTA</t>
  </si>
  <si>
    <t>SCV000616521.1</t>
  </si>
  <si>
    <t>SCV000616513.1</t>
  </si>
  <si>
    <t>SCV000616506.1</t>
  </si>
  <si>
    <t>This variant was classified using modified ACMG criteria (ClinGen Expert Panel; manuscript in preparation). Please see a summary of the rules and criteria codes in the "ACMG variant classification (RASopathy)" document (assertion method column). The following criteria were met: PP3, BS2, BP5. Additional case-level data provided by: SCV000062230; SCV000209093</t>
  </si>
  <si>
    <t>SCV000616433.1</t>
  </si>
  <si>
    <t>SCV000616503.1</t>
  </si>
  <si>
    <t>SCV000616524.1</t>
  </si>
  <si>
    <t>This variant was classified using modified ACMG criteria (ClinGen Expert Panel; manuscript in preparation). Please see a summary of the rules and criteria codes in the "ACMG variant classification (RASopathy)" document (assertion method column). The following criteria were met: BP5, BP7. Additional case-level data provided by: SCV000063150; SCV000170190.</t>
  </si>
  <si>
    <t>SCV000616546.1</t>
  </si>
  <si>
    <t>SCV000616565.1</t>
  </si>
  <si>
    <t>SCV000616563.1</t>
  </si>
  <si>
    <t>SCV000616582.1</t>
  </si>
  <si>
    <t>SCV000616581.1</t>
  </si>
  <si>
    <t>SCV000616579.1</t>
  </si>
  <si>
    <t>This variant was classified using modified ACMG criteria (ClinGen Expert Panel; manuscript in preparation). Please see a summary of the rules and criteria codes in the "ACMG variant classification (RASopathy)" document (assertion method column). The following criteria were met: BP4. Additional case-level data provided by: SCV000063182; SCV000207950.</t>
  </si>
  <si>
    <t>SCV000616544.1</t>
  </si>
  <si>
    <t>The allele frequency of the p.Asn346His variant in the USH2A gene is 0.016% (20/126318) of European (Non-Finnish) chromosomes by the Genome Aggregation Database (http://gnomad.broadinstitute.org), which is a low enough frequency to award PM2_Supporting based on the thresholds defined by the ClinGen Hearing Loss Expert Panel for autosomal recessive Usher syndrome (PM2_Supporting). The p.Asn346His variant in USH2A has been reported to segregate with hearing loss in at least 7 families including 13 family members (PP1_S; 10729113, 15241801, 17405132, 25521520, 24160897, 22135276). This variant has been detected in patients with hearing loss in trans with at least 4 pathogenic or suspected-pathogenic variants (PM3_VS; PMID: 15241801, 24160897, 22135276, 26969326). At least one patient with a variant in this gene displayed features of mild to severe hearing loss and retinitis pigmentosa (PP4; PMID: 10729113, 15241801, 17405132, 25521520, 24160897, 22135276). Computational prediction tools and conservation analysis suggest that the p.Asn346His variant may impact the protein (PP3). In summary, this variant meets criteria to be classified as pathogenic for autosomal recessive Usher syndrome based on the ACMG/AMP criteria applied, as specified by the Hearing Loss Expert Panel: PM2_Supporting, PP1_S, PM3_VS, PP4, PP3.</t>
  </si>
  <si>
    <t>SCV000840547.1</t>
  </si>
  <si>
    <t>The filtering allele frequency of the c.15297+3A&gt;G variant in the USH2A gene is 0.99% (265/24032) of African chromosomes by the Genome Aggregation Database (http://gnomad.broadinstitute.org; calculated by using inverse allele frequency at https://www.cardiodb.org/allelefrequencyapp/), which is a high enough frequency to be classified as benign based on thresholds defined by the ClinGen Hearing Loss Expert Panel for autosomal recessive hearing loss variants (BA1).</t>
  </si>
  <si>
    <t>SCV000840530.1</t>
  </si>
  <si>
    <t>The filtering allele frequency of the p.Ser5188Gly variant in the USH2A gene is 6.8% (2200/30782) of South Asian chromosomes by the Genome Aggregation Database (http://gnomad.broadinstitute.org; calculated by using inverse allele frequency at https://www.cardiodb.org/allelefrequencyapp/), which is a high enough frequency to be classified as benign based on thresholds defined by the ClinGen Hearing Loss Expert Panel for autosomal recessive hearing loss variants (BA1).</t>
  </si>
  <si>
    <t>SCV000840513.1</t>
  </si>
  <si>
    <t>The allele frequency of the p.Gly1861Ser variant in USH2A is 0.017% (3/17184) of East Asian chromosomes by the Genome Aggregation Database (http://gnomad.broadinstitute.org), which is a low enough frequency to award PM2_Supporting based on the thresholds defined by the ClinGen Hearing Loss Expert Panel for autosomal recessive hearing loss (PM2_P). This variant was found to have a statistically higher prevalence in affected individuals over controls (PS4; PMIDs: 26310143, 26338283, 23737954, Partners LMM internal data SCV000065557.5). This variant has been detected in 4 patients with hearing loss in trans with pathogenic or suspected-pathogenic variants (PM3_S; PMIDs: 26310143, 26338283, 23737954, Partners LMM internal data SCV000065557.5). The variant has been reported to segregate with hearing loss in one affected family member (PP1, PMID: 26310143). At least one patient with a variant in this gene displayed features of mild to severe hearing loss and retinitis pigmentosa (PP4; PMID: PMIDs: 26310143, 26338283, 23737954, Partners LMM internal data SCV000065557.5). Computational prediction tools and conservation analysis suggest that the p.Gly1861Ser variant may impact the protein (PP3). In summary, this variant meets criteria to be classified as pathogenic for autosomal recessive Usher syndrome based on the ACMG/AMP criteria applied, as specified by the Hearing Loss Expert Panel: PS4, PM2_P, PP3, PM3_S, PP1, PP4.</t>
  </si>
  <si>
    <t>SCV000840514.1</t>
  </si>
  <si>
    <t>The c.8559-2A&gt;G has been detected in &gt;4 patients with Usher syndrome who were compound heterozygous for the this variant in trans with a truncating variant (PM3_VS; PMID: 25356976, 19737284, 26338283, 19023448). Segregation data was also available for two reported families with Usher syndrome. In one family, the variant was identified in trans with a frameshift variant in two affected siblings, and four unaffected siblings were either heterozygous for a single variant or wild-type for both variants. In the second family, an unaffected sibling was heterozygous for a single variant (PP1_Strong, PMID: 19023448). RT-PCR analysis of cells from a patient carrying the variant revealed that the variant causes skipping of exon 43, resulting in a 41 amino acid deletion of the USH2A protein (PM4, PMID: 20596040) The allele frequency of the c.8559-2A&gt;G variant in the USH2A gene is 0.046% (8/17232) of East Asian chromosomes by the Genome Aggregation Database ( http://gnomad.broadinstitute.org), which is a low enough frequency to award PM2_supporting based on the thresholds defined by the ClinGen Hearing Loss Expert Panel for autosomal recessive hearing loss and Usher syndrome (PM2_Supporting). Several patients reported to harbor this variant displayed clinical features of Usher syndrome (PP4; PMID: 25356976, 19737284, 26338283, 19023448). In summary, this variant meets criteria to be classified as pathogenic for autosomal recessive Usher syndrome based on the ACMG/AMP criteria applied, as specified by the Hearing Loss Expert Panel: PM4, PM3_VS, PP1_S, PP4, PM2_P.</t>
  </si>
  <si>
    <t>SCV000840538.1</t>
  </si>
  <si>
    <t>SCV000616562.1</t>
  </si>
  <si>
    <t>PAH-specific ACMG/AMP criteria applied: PVS1: Nonsense variant; PM2: gnomAD MAF 0.00017; PP4_Moderate: Detected in PKU patients (PMID:25894915); PM3_Strong: in trans with p.W326X (Pathogenic), and IVS4-1G&gt;A (Pathogenic). (PMID:25894915). In summary this variant meets criteria to be classified as pathogenic for phenylketonuria in an autosomal recessive manner based on the ACMG/AMP criteria applied as specified by the PAH Expert Panel: (PVS1, PM2, PP4_Moderate, PM3_Strong).</t>
  </si>
  <si>
    <t>SCV000852132.1</t>
  </si>
  <si>
    <t>PAH-specific ACMG/AMP criteria applied: PP4_Moderate: Seen on 3 PKU alleles, BH4 deficiency was ruled out. Upgraded per ClinGen Metabolic WG. (PMID:8268925); PM3_VeryStrong: A403V found with 4 pathogenic variants . Upgraded per ClinGen SVI workgroup. (PMID:9429153); PS3: In vitro A403V mutant protein activity was ~43% wt. (PMID:21820508). In summary this variant meets criteria to be classified as pathogenic for phenylketonuria in an autosomal recessive manner based on the ACMG/AMP criteria applied as specified by the PAH Expert Panel: (PP4_Moderate, PM3_VeryStrong, PS3).</t>
  </si>
  <si>
    <t>SCV000852096.1</t>
  </si>
  <si>
    <t>PAH-specific ACMG/AMP criteria applied: BA1: MAF=0.16641; BP4: no impact on gene in SIFT, Polyphen2, MutationTaster. In summary this variant meets criteria to be classified as benign for phenylketonuria in an autosomal recessive manner based on the ACMG/AMP criteria applied as specified by the PAH Expert Panel: (BA1, BP4).</t>
  </si>
  <si>
    <t>SCV000852128.1</t>
  </si>
  <si>
    <t>PAH-specific ACMG/AMP criteria applied: BA1: MAF=0.44942 in ExAC; BP2: Observed in cis (in the homozygous state) with IVS2+5G&gt;C (P) (PMID:24048906). In summary this variant meets criteria to be classified as benign for phenylketonuria in an autosomal recessive manner based on the ACMG/AMP criteria applied as specified by the PAH Expert Panel: (BA1, BP2).</t>
  </si>
  <si>
    <t>SCV000852103.1</t>
  </si>
  <si>
    <t>PAH-specific ACMG/AMP criteria applied: PM2: Extremely low frequency. ESP MAF=0.00012.; PP4_Moderate: Detected in a patient with mild HPA. Assessment of the PAH, PTS, and QDPR genes was performed. (PMID:21147011); PM3: Detected with V388M, pathogenic in ClinVar (PMID:21147011). In summary this variant meets criteria to be classified as likely pathogenic for phenylketonuria in an autosomal recessive manner based on the ACMG/AMP criteria applied as specified by the PAH Expert Panel: (PM2, PP4_Moderate, PM3).</t>
  </si>
  <si>
    <t>SCV000852123.1</t>
  </si>
  <si>
    <t>PAH-specific ACMG/AMP criteria applied: PM2: Identified a single time in gnomAD (4.06e-06) and absent in ExAC; PM4: p.Ala104_Val106del; PP4: Single patient picked up on NBS with no confirmation studies, no clinical info, no Phe levels, etc. (PMID:27308838). In summary this variant meets criteria to be classified as uncertain significance for phenylketonuria based on the ACMG/AMP criteria applied as specified by the PAH Expert Panel: (PM2, PM4, PP4).</t>
  </si>
  <si>
    <t>SCV000852090.1</t>
  </si>
  <si>
    <t>PAH-specific ACMG/AMP criteria applied: PP3: in silico analysis supportive of damaging effect; PM3_Strong: In trans with R261Q (PMID 21147011), and in trans with IVS2+1G&gt;A (PMID 12655554) (PMID:21147011; PMID:12655554); PP4_Moderate: BH4 deficiency excluded (PMID:21147011). In summary this variant meets criteria to be classified as likely pathogenic for phenylketonuria in an autosomal recessive manner based on the ACMG/AMP criteria applied as specified by the PAH Expert Panel: (PP3, PM3_Strong, PP4_Moderate).</t>
  </si>
  <si>
    <t>SCV000852139.1</t>
  </si>
  <si>
    <t>The c.441+5G&gt;T variant in PAH has been reported on &gt;17 PKU alleles (BH4 deficiency excluded). (PP4_Moderate; PMID: 17935162; PMID: 23514811). This variant has an extremely low allele frequency (0.00002886) in gnomAD (PM2; http://gnomad.broadinstitute.org). This variant has 0% enzyme activity (PS3; http://www.biopku.org). This variant was detected in trans with IVS10-11g&gt;a and p.V388M (Pathogenic in ClinVar) (PM3_Strong; PMID: 23514811). Computational prediction tools and conservation analysis suggest that the c.441+5G&gt;T variant may impact the protein (PP3). In summary, this variant meets criteria to be classified as pathogenic for PAH. PAH-specific ACMG/AMP criteria applied: PP4_Moderate, PS3, PM3_Strong</t>
  </si>
  <si>
    <t>SCV000852117.1</t>
  </si>
  <si>
    <t>PAH-specific ACMG/AMP criteria applied: PM2: Extremely low frequency in ExAC (MAF=0.00003). Absent from gnomAD, 1000G, ESP; PP4_Moderate: Found in a French patient with HPA and 2 unrelated UK patients. BH4 deficiencies not assessed/reported. Seen in 1 German patient, Cofactor deficiency was excluded by the BH4 test. 1 Spanish patient, a defect in the synthesis or regeneration pathways of 6R-BH4 was ruled out by analyzing urinary pterin levels and measuring dihydropteridine reductase activity. (PMID:26666653; PMID:9012412; PMID:10679941); PM3_Strong: Patient 664 with genotype N167I/Rl58Q (Pathogenic in ClinVar). Detected with G272X and R408W, known pathogenic variants. (PMID:24368688; PMID:26666653). In summary this variant meets criteria to be classified as likely pathogenic for phenylketonuria in an autosomal recessive manner based on the ACMG/AMP criteria applied as specified by the PAH Expert Panel: (PM2, PP4_Moderate, PM3_Strong).</t>
  </si>
  <si>
    <t>SCV000852095.1</t>
  </si>
  <si>
    <t>The c.508C&gt;G (p.His170Asp) variant in PAH has been reported in 1 patient with hyperphenylalaninemia, and 1 patient with benign persistent hyperphenylalaninemia. (PP4; PMID: 11385716). This variant has an extremely low allele frequency (0.00018) in gnomAD (PM2; http://gnomad.broadinstitute.org). This variant has 43% enzyme activity (PS3; PMID: 17935162). This variant was detected in trans with R261X, c.60+5G&gt;T, c.1315+1G&gt;A (Pathogenic in ClinVar) (PM3_Strong; PMID: 11385716; PMID: 24941924). Computational prediction tools and conservation analysis suggest that the c.829T&gt;G variant may impact the protein (PP3). In summary, this variant meets criteria to be classified as pathogenic for PAH. PAH-specific ACMG/AMP criteria applied: PS3, PM3_Strong</t>
  </si>
  <si>
    <t>SCV000852149.1</t>
  </si>
  <si>
    <t>PAH-specific ACMG/AMP criteria applied: PM2: Absent from 1000G, ESP. ExAC MAF=0.00017; PP3: Deleterious effect predicted in SIFT, Polyphen2, MutationTaster. REVEL=0.841; PS3: 39% residual phenylalanine hydroxylase activity (PMID:17935162); PP4_Moderate: Detected in 6 PKU patients. BH4 deficiency excluded. Upgraded per ClinGen PAHEP. (PMID:18294361; PMID:9634518); PM3_Strong: In trans with 3 pathogenic variants (PMID:18294361). In summary this variant meets criteria to be classified as pathogenic for phenylketonuria in an autosomal recessive manner based on the ACMG/AMP criteria applied as specified by the PAH Expert Panel: (PM2, PP3, PS3, PP4_Moderate, PM3_Strong).</t>
  </si>
  <si>
    <t>SCV000852155.1</t>
  </si>
  <si>
    <t>The c.638T&gt;C (p.Leu213Pro) variant in PAH has been reported in in 4 patients with PAH deficiency (BH4 deficiency excluded). (PP4_Moderate; PMID: 8659548; PMID: 19292873; PMID: 21147011). This variant is absent from large population studies (PM2; http://exac.broadinstitute.org). This variant was detected in trans with c.1066-11G&gt;A, E390G, D415N, R261X.(Pathogenic in ClinVar) (PM3_Very-strong; PMID: 19292873; PMID: 21147011; PMID: 8632937). Computational prediction tools and conservation analysis suggest that the c.638T&gt;C variant may impact the protein (PP3). In summary, this variant meets criteria to be classified as pathogenic for PAH. PAH-specific ACMG/AMP criteria applied: PP4_Moderate, PM3_Very-strong</t>
  </si>
  <si>
    <t>SCV000852093.1</t>
  </si>
  <si>
    <t>The c.735G&gt;A (p.Val245=) variant in PAH has a MAF of 0.29058 in ExAC (BA1; http://exac.broadinstitute.org) with 6,524 homozygotes (BS2). This is a synonymous variant, predicted tolerated and benign in SIFT, Polyphen. MutationTaster predicted polymorphism with no abrogation of splice sites (BP4). In summary, this variant meets criteria to be classified as benign.</t>
  </si>
  <si>
    <t>SCV000852118.1</t>
  </si>
  <si>
    <t>PAH-specific ACMG/AMP criteria applied: PM2: 1 allele in ExAC ; PP3: tools predict damaging ; PP4_Moderate: P281S Identified in at least one patient with classic PKU. BH4 deficiency excluded. (PMID:15589814); PM3_Strong: Detected with c.1315+1G&gt;A &amp; p.Arg243Ter, pathogenic in ClinVar (PMID:26666653; PMID:27121329). In summary this variant meets criteria to be classified as likely pathogenic for phenylketonuria in an autosomal recessive manner based on the ACMG/AMP criteria applied as specified by the PAH Expert Panel: (PM2, PP3, PP4_Moderate, PM3_Strong).</t>
  </si>
  <si>
    <t>SCV000852107.1</t>
  </si>
  <si>
    <t>PAH-specific ACMG/AMP criteria applied: PP3: Deleterious in SIFT, Polyphen2, MutationTaster; PP4_Moderate: A300S found on 56/588 hyperphenylalaninemic patients, BH4 deficiency excluded. Upgraded per ClinGen Metabolic WG. (PMID:21147011); PM3_VeryStrong: Detected with c.1066-11G&gt;A (P), R261Q(P/LP), L48S (P), R176X (P) in 20 patients. (PMID:21147011); PS3: A300S in vitro PAH activity of 31% (PMID:17935162). In summary this variant meets criteria to be classified as pathogenic for phenylketonuria in an autosomal recessive manner based on the ACMG/AMP criteria applied as specified by the PAH Expert Panel: (PP3, PP4_Moderate, PM3_VeryStrong, PS3).</t>
  </si>
  <si>
    <t>SCV000852126.1</t>
  </si>
  <si>
    <t>PAH-specific ACMG/AMP criteria applied: PM2: Extremely low frequency. ExAC MAF=0.00006.; PVS1: Canonical +1 splice site; PP4: Detected in 5 patients with classical PKU. (PMID:8659548). In summary this variant meets criteria to be classified as pathogenic for phenylketonuria in an autosomal recessive manner based on the ACMG/AMP criteria applied as specified by the PAH Expert Panel: (PM2, PVS1, PP4).</t>
  </si>
  <si>
    <t>SCV000852153.1</t>
  </si>
  <si>
    <t>PAH-specific ACMG/AMP criteria applied: PM2: Low frequency. 1.0e-5; PP3: All databases agree on damaging effect. REVEL=0.921; PS3: Enzyme activity = 30% (Ho, 2008) (PMID:18590700); PM3: Single patient with classic PKU, c.842C&gt;T (pathogenic in ClinVar) / c.926C&gt;T (PMID:26666653); PP4: Single patient with classic PKU (&gt;1200umol/L), BH4 defect not excluded (PMID:26666653). In summary this variant meets criteria to be classified as pathogenic for phenylketonuria in an autosomal recessive manner based on the ACMG/AMP criteria applied as specified by the PAH Expert Panel: (PM2, PP3, PS3, PM3, PP4).</t>
  </si>
  <si>
    <t>SCV000852158.1</t>
  </si>
  <si>
    <t>PAH-specific ACMG/AMP criteria applied: BA1: MAF=0.49022 in ExAC; BP2: Observed in cis with R261Q. (PMID:24048906). In summary this variant meets criteria to be classified as benign for phenylketonuria in an autosomal recessive manner based on the ACMG/AMP criteria applied as specified by the PAH Expert Panel: (BA1, BP2).</t>
  </si>
  <si>
    <t>SCV000852157.1</t>
  </si>
  <si>
    <t>PTEN c.-9C&gt;G (NC_000010.10:g.89624218C&gt;G) meets criteria to be classified as benign for PTEN Hamartoma Tumor syndrome in an autosomal dominant manner using modified ACMG criteria (Mester et al. 2018; manuscript in preparation). Please see a summary of the rules and criteria codes in the 'PTEN ACMG Specifications Summary' document (assertion method column). BA1: Allele frequency of 0.048 (4.8%, 903/18,870 alleles) in the East Asian subpopulation of the gnomAD cohort. (PMID 27535533)</t>
  </si>
  <si>
    <t>SCV000840463.1</t>
  </si>
  <si>
    <t>PTEN c.1026+32T&gt;G (IVS8+32T&gt;G) meets criteria to be classified as benign for PTEN Hamartoma Tumor syndrome in an autosomal dominant manner using modified ACMG criteria (Mester et al. 2018; manuscript in preparation). Please see a summary of the rules and criteria codes in the 'PTEN ACMG Specifications Summary' document (assertion method column). BA1: Allele frequency of 0.374 (37.4%, 102,771/274,696 alleles) in the gnomAD cohort. (PMID 27535533)</t>
  </si>
  <si>
    <t>SCV000840460.1</t>
  </si>
  <si>
    <t>PTEN c.132C&gt;T (p.G44=) meets criteria to be classified as likely benign for PTEN Hamartoma Tumor syndrome in an autosomal dominant manner using modified ACMG criteria (Mester et al. 2018; manuscript in preparation). Please see a summary of the rules and criteria codes in the 'PTEN ACMG Specifications Summary' document (assertion method column). BS1: Allele frequency of 0.167 (1.67%, 463/276,792 alleles) in the gnomAD cohort. (PMID 27535533) BS2_P: Meets criteria for BS2 (observed in the homozygous state in at least one healthy or PHTS-unaffected individual) but BS1 is also applied. (Internal laboratory contributor(s) SCV000212700.3) BP5: Variant found in multiple cases with alternate molecular basis for disease. (Internal laboratory contributor(s) SCV000212700.3) BP7: Variant is synonymous (silent), nucleotide is not conserved, and no splicing impact is predicted.</t>
  </si>
  <si>
    <t>SCV000840470.1</t>
  </si>
  <si>
    <t>PTEN c.209+4_209+7delAGTA (IVS3+4_IVS3+7delAGTA) meets criteria to be classified as pathogenic for PTEN Hamartoma Tumor syndrome in an autosomal dominant manner using modified ACMG criteria (Mester et al. 2018; manuscript in preparation). Please see a summary of the rules and criteria codes in the 'PTEN ACMG Specifications Summary' document (assertion method column). PS3: RNA, mini-gene, or other assay shows impact on splicing. (PMID 28677221) PM6_S: Two probands with presumed de novo occurrence (maternity/paternity not confirmed) in a patient with the disease and no family history. (Internal laboratory contributor(s)) PM2: Absent in large sequenced populations (PMID 27535533). PP1_M: Co-segregation with disease in multiple affected family members, with 5 or 6 meioses observed. (Internal laboratory contributor(s)) PS4_P: Proband(s) with phenotype specificity score of 1-1.5. (PMID 28677221, internal laboratory contributor(s) SCV000273868.4)</t>
  </si>
  <si>
    <t>SCV000840483.1</t>
  </si>
  <si>
    <t>PTEN c.254-39G&gt;T (IVS4-39G&gt;T) meets criteria to be classified as likely benign for PTEN Hamartoma Tumor syndrome in an autosomal dominant manner using modified ACMG criteria (Mester et al. 2018; manuscript in preparation). Please see a summary of the rules and criteria codes in the 'PTEN ACMG Specifications Summary' document (assertion method column). BS1: Allele frequency of 0.0064 (0.64%, 112/17,490 alleles) in the South Asian subpopulation of the gnomAD cohort. (PMID 27535533) BP4: Intronic variant where at least 2 out of 3 in silico models predict no splicing impact. BP7: Variant is intronic and at or beyond +7/-21, nucleotide is not conserved, and no splicing impact is predicted.</t>
  </si>
  <si>
    <t>SCV000840477.1</t>
  </si>
  <si>
    <t>PTEN c.79+35C&gt;T (IVS1+35C&gt;T) meets criteria to be classified as benign for PTEN Hamartoma Tumor syndrome in an autosomal dominant manner using modified ACMG criteria (Mester et al. 2018; manuscript in preparation). Please see a summary of the rules and criteria codes in the 'PTEN ACMG Specifications Summary' document (assertion method column). BS1: Allele frequency of 0.00178 (1.78%, 492/277,200 alleles) in the gnomAD cohort. (PMID 27535533) BS3: Intronic variant with RNA, mini-gene, or other splicing assay demonstrating no splicing impact. (PMID 17636424)</t>
  </si>
  <si>
    <t>SCV000840499.1</t>
  </si>
  <si>
    <t>PTEN c.801+23G&gt;A (IVS7+23G&gt;A) meets criteria to be classified as likely benign for PTEN Hamartoma Tumor syndrome in an autosomal dominant manner using modified ACMG criteria (Mester et al. 2018; manuscript in preparation). Please see a summary of the rules and criteria codes in the 'PTEN ACMG Specifications Summary' document (assertion method column). BS1: Allele frequency of 0.0024 (0.24%, 58/24,016 alleles) in the African subpopulation of the gnomAD cohort. (PMID 27535533) BP4: Intronic variant where at least 2 out of 3 in silico models predict no splicing impact.</t>
  </si>
  <si>
    <t>SCV000840490.1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</si>
  <si>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BP5. Additional case-level data provided by: SCV000111925; SCV000204171; SCV000207934, Cave et al.</t>
  </si>
  <si>
    <t>SCV000616536.1</t>
  </si>
  <si>
    <t>PAH-specific ACMG/AMP criteria applied: PM2: Absent from ExAC, gnomAD, 1000G, ESP; PVS1: Frameshift variant; PP4_Moderate: Reported in patients with PAH deficiency. Bh4 defects excluded. (PMID:9634518). In summary this variant meets criteria to be classified as pathogenic for phenylketonuria in an autosomal recessive manner based on the ACMG/AMP criteria applied as specified by the PAH Expert Panel: (PM2, PVS1, PP4_Moderate).</t>
  </si>
  <si>
    <t>SCV000852167.1</t>
  </si>
  <si>
    <t>PAH-specific ACMG/AMP criteria applied: PM2: Absent from controls in ExaC, 100 Genomes, ESP, and gnomAD; PP3: Deleterious effected predicted by SIFT, Polyphen2, and MutationTaster; PM5: A345S (Variant ID 102484) predicted pathogenic in ClinVar; PP4_Moderate: Found in two individuals with Classic PKU on exon 10.Urinary pterin analysis and dihydropteridine reductase (DHPR) assay were performed t (PMID:15503242); PM3: Found in trans with R243Q (pathogenic in ClinVar). (PMID:15503242). In summary this variant meets criteria to be classified as likely pathogenic for phenylketonuria in an autosomal recessive manner based on the ACMG/AMP criteria applied as specified by the PAH Expert Panel: (PM2, PP3, PM5, PP4_Moderate, PM3).</t>
  </si>
  <si>
    <t>SCV000852127.1</t>
  </si>
  <si>
    <t>PAH-specific ACMG/AMP criteria applied: PVS1: Frameshift variant; PM2: Extremely low frequency in ExAC, MAF=0.00002.; PP4: Identified in a pair of siblings with PKU. (PMID:7913581). In summary this variant meets criteria to be classified as pathogenic for phenylketonuria in an autosomal recessive manner based on the ACMG/AMP criteria applied as specified by the PAH Expert Panel: (PVS1, PM2, PP4).</t>
  </si>
  <si>
    <t>SCV000852166.1</t>
  </si>
  <si>
    <t>PAH-specific ACMG/AMP criteria applied: PVS1: Frameshift variant; PM2: Absent from ExAC, gnomAD, 1000G, ESP; PP4: Detected in a patient with Classical PKU. (PMID:8659548). In summary this variant meets criteria to be classified as pathogenic for phenylketonuria in an autosomal recessive manner based on the ACMG/AMP criteria applied as specified by the PAH Expert Panel: (PVS1, PM2, PP4).</t>
  </si>
  <si>
    <t>SCV000852154.1</t>
  </si>
  <si>
    <t>PAH-specific ACMG/AMP criteria applied: PM2: 8.1e-6 allele frequency in GnomAD, not found in any other databases; PM3: [c.898G&gt;T];[c.1199+1G&gt;C] in a patient with mild hyperphe (180umol/L); PP4_Moderate: Single patient in Sterl 2013, BH4 defect excluded. Also identified in multiple other patients (7 publications linked through ClinVar) (PMID:22526846); PVS1: +1 canonical splice site. In summary this variant meets criteria to be classified as pathogenic for phenylketonuria in an autosomal recessive manner based on the ACMG/AMP criteria applied as specified by the PAH Expert Panel: (PM2, PM3, PP4_Moderate, PVS1).</t>
  </si>
  <si>
    <t>SCV000852176.1</t>
  </si>
  <si>
    <t>PAH-specific ACMG/AMP criteria applied: BS1: MAF=0.01361 in ENF from gnomAD; BS2: 19 homozygotes in gnomAD. In summary this variant meets criteria to be classified as benign for phenylketonuria in an autosomal recessive manner based on the ACMG/AMP criteria applied as specified by the PAH Expert Panel: (BS1, BS2).</t>
  </si>
  <si>
    <t>SCV000852150.1</t>
  </si>
  <si>
    <t>PAH-specific ACMG/AMP criteria applied: BS1: MAF=0.01596 in ExAC (138/8648) and 0.0104 in gnomAD (265/18868 with 3 homozygotes); PP4: Detected in a patient with mild hyperphe (PMID:24401910); PM3: Detected with V388L (LP) (PMID:24401910). In summary this variant meets criteria to be classified as uncertain significance for phenylketonuria in an autosomal recessive manner based on the ACMG/AMP criteria applied as specified by the PAH Expert Panel: (BS1, PP4, PM3).</t>
  </si>
  <si>
    <t>SCV000852170.1</t>
  </si>
  <si>
    <t>PAH-specific ACMG/AMP criteria applied: PP4: Phe&gt;120 umol/L with PKU (PMID:25456745); PM3: In trans with: c.842+2T&gt;A (P, ClinGen) (PMID:25456745); PS3: 0% in BioPKU; PM2: Extremely low frequency. ExAC MAF=0.00012; PM4: In frame deletion. In summary this variant meets criteria to be classified as pathogenic for phenylketonuria in an autosomal recessive manner based on the ACMG/AMP criteria applied as specified by the PAH Expert Panel: (PP4, PM3, PS3, PM2, PM4).</t>
  </si>
  <si>
    <t>SCV000852172.1</t>
  </si>
  <si>
    <t>PAH-specific ACMG/AMP criteria applied: PM2: Extremely low frequency: 0.00009 in gnomAD; PS3: 26% PAH enzyme activity; PM3_Strong: Detected with Y414C, pathogenic in ClinVar and V245L (P/LP) (PMID:9429153; PMID:24368688). In summary this variant meets criteria to be classified as pathogenic for phenylketonuria in an autosomal recessive manner based on the ACMG/AMP criteria applied as specified by the PAH Expert Panel: (PM2, PS3, PM3_Strong).</t>
  </si>
  <si>
    <t>SCV000852162.1</t>
  </si>
  <si>
    <t>PAH-specific ACMG/AMP criteria applied: PM2: absent from ExAC, gnomAD, 1000G, ESP. PAGE MAF=0.00066; PP3: Deleterious effect predicted in SIFT, Polyphen-2, MutationTaster. REVEL=0.967; PP4_Moderate: Detected in a patient with classic PKU. Cofactor deficiency excluded. (PMID:10679941); PM3: Detected in trans with R408W (P) (PMID:10679941). In summary this variant meets criteria to be classified as likely pathogenic for phenylketonuria in an autosomal recessive manner based on the ACMG/AMP criteria applied as specified by the PAH Expert Panel: (PM2, PP3, PP4_Moderate, PM3).</t>
  </si>
  <si>
    <t>SCV000852116.1</t>
  </si>
  <si>
    <t>PAH-specific ACMG/AMP criteria applied: PM2: Extremely low frequency. ExAC MAF=0.00019.; PP3: Predicted deleterious in SIFT, Polyphen-2, MutationTaster. REVEL=0.939; PS3: 2% mutant enzyme activity in BioPKU; PP4_Moderate: Detected in at least 3 patients with PAH deficiency. BH4 deficiency ruled out in 1 patient. (PMID:1307609; PMID:10429004; PMID:9634518); PM3_Strong: Detected with 3 pathogenic/likely pathogenic variants (PMID:14681498; PMID:23430918). In summary this variant meets criteria to be classified as pathogenic for phenylketonuria in an autosomal recessive manner based on the ACMG/AMP criteria applied as specified by the PAH Expert Panel: (PM2, PP3, PS3, PP4_Moderate, PM3_Strong).</t>
  </si>
  <si>
    <t>SCV000852152.1</t>
  </si>
  <si>
    <t>PAH-specific ACMG/AMP criteria applied: PM2: ExAC:8.238e-06; gnomAD:0.000004062; 1000G + ESP: absent; PVS1: Null variant- frameshift. Subject to nonsense mediated decay.; PM3: found in trans with L48S (VarID608, Pathogenic) (PMID:8535445); PP4: 47delCT found in 1 patient with moderate PKU. BH4 deficiency not ruled out. (PMID:8535445). In summary this variant meets criteria to be classified as pathogenic for phenylketonuria in an autosomal recessive manner based on the ACMG/AMP criteria applied as specified by the PAH Expert Panel: (PM2, PVS1, PM3, PP4).</t>
  </si>
  <si>
    <t>SCV000852108.1</t>
  </si>
  <si>
    <t>PAH-specific ACMG/AMP criteria applied: PM2: ExAC MAF: 0.00012; PP4_Moderate: Detected in patients with PKU/HPA. BH4 deficiency excluded. (PMID:11244681; PMID:23942198); PM3_Strong: Detected with D145V, A403V (Pathogenic) (PMID:11244681; PMID:23942198). In summary this variant meets criteria to be classified as likely pathogenic for phenylketonuria in an autosomal recessive manner based on the ACMG/AMP criteria applied as specified by the PAH Expert Panel: (PM2, PP4_Moderate, PM3_Strong).</t>
  </si>
  <si>
    <t>SCV000852171.1</t>
  </si>
  <si>
    <t>PAH-specific ACMG/AMP criteria applied: PP4: N167S was observed in 1 case (genotype N167S/-) with benign persistent hyperphenylalaninemia (200-600 uM). (PMID:11385716); BS1: gnomAD MAF: 0.01461. In summary this variant meets criteria to be classified as uncertain significance for phenylketonuria in an autosomal recessive manner based on the ACMG/AMP criteria applied as specified by the PAH Expert Panel: (PP4, BS1).</t>
  </si>
  <si>
    <t>SCV000852160.1</t>
  </si>
  <si>
    <t>PAH-specific ACMG/AMP criteria applied: PVS1: Frameshift variant; PM2: Extremely low frequency. ExAC MAF: 0.00001.; PP4: Detected in PKU patient in international phase II clinical trial for sapropterin. (PMID:23430918). In summary this variant meets criteria to be classified as pathogenic for phenylketonuria in an autosomal recessive manner based on the ACMG/AMP criteria applied as specified by the PAH Expert Panel: (PVS1, PM2, PP4).</t>
  </si>
  <si>
    <t>SCV000852094.1</t>
  </si>
  <si>
    <t>PAH-specific ACMG/AMP criteria applied: PP4_Moderate: This variant has been reported in multiple mild hyperphenylalaninaemia (MHP) patients, with BH4 defects excluded. Upgraded per ClinGen Metabolic workgroup. (PMID:10234516); PM3_Strong: Detected with P281L and A403V, both pathogenic variants (PMID:10234516). In summary this variant meets criteria to be classified as likely pathogenic for phenylketonuria in an autosomal recessive manner based on the ACMG/AMP criteria applied as specified by the PAH Expert Panel: (PP4_Moderate, PM3_Strong).</t>
  </si>
  <si>
    <t>SCV000852129.1</t>
  </si>
  <si>
    <t>PAH-specific ACMG/AMP criteria applied: PM2: Absent from ExAC, gnomAD, 1000G, ESP; PP3: Deleterious effect predicted in SIFT, Polyphen-2, MutationTaster. REVEL=0.966; PP4_Moderate: Detected in PKU patients. BH4 deficiency assessed. Upgraded per ClinGen PAH EP. (PMID:26600521; PMID:23430918); PM3_Strong: Detected with c.611A&gt;G (P/LP) and R408W (P). Upgraded per ClinGen SVI workgroup. (PMID:23430918; PMID:26600521). In summary this variant meets criteria to be classified as likely pathogenic for phenylketonuria in an autosomal recessive manner based on the ACMG/AMP criteria applied as specified by the PAH Expert Panel: (PM2, PP3, PP4_Moderate, PM3_Strong).</t>
  </si>
  <si>
    <t>SCV000852106.1</t>
  </si>
  <si>
    <t>PAH-specific ACMG/AMP criteria applied: PM2: Not found in any population databases; PP3: All predictors agree--damaging; PM3: Single patient IVS4+5G&gt;T (null) / I174V (Bercovich 2008 PMID 18299955) (PMID:18299955); PP4: Two independent patients (one in Zschocke (PMID 10394930) and one in Bercovich (PMID 18299955) with "PKU". While no specific levels are mentioned, they are followed in clinic and were diagnosed with Phe &gt;120umol/L. BH4 defect WAS NOT excluded in either paper.. In summary this variant meets criteria to be classified as likely pathogenic for phenylketonuria in an autosomal recessive manner based on the ACMG/AMP criteria applied as specified by the PAH Expert Panel: (PM2, PP3, PM3, PP4).</t>
  </si>
  <si>
    <t>SCV000852115.1</t>
  </si>
  <si>
    <t>PAH-specific ACMG/AMP criteria applied: PVS1: Nonsense variant; PM2: ExAC MAF: 0.00010; PP4_Moderate: BH4 defect excluded in all patients in Liu 2015. Identified in 6 patients in this study (PMID:10394930; PMID:26600521); PM3_Strong: Identified in 6 patients, in trans with R243Q and R241C (both pathogenic) (PMID:26600521). In summary this variant meets criteria to be classified as pathogenic for phenylketonuria in an autosomal recessive manner based on the ACMG/AMP criteria applied as specified by the PAH Expert Panel: (PVS1, PM2, PP4_Moderate, PM3_Strong).</t>
  </si>
  <si>
    <t>SCV000852175.1</t>
  </si>
  <si>
    <t>PAH-specific ACMG/AMP criteria applied: PM2: Absent from ExAC, gnomAD, 1000G, ESP; PP3: Deleterious effect predicted in SIFT, Polyphen-2, MutationTaster. REVEL=0.929; PP4_Moderate: Detected in 1 PKU patient, primary BH4 deficiency excluded. Upgraded per ClinGen PAH EP. (PMID:23430918); PM3: Detected with c.1066-11G&gt;A (P) (PMID:23430918). In summary this variant meets criteria to be classified as likely pathogenic for phenylketonuria in an autosomal recessive manner based on the ACMG/AMP criteria applied as specified by the PAH Expert Panel: (PM2, PP3, PP4_Moderate, PM3).</t>
  </si>
  <si>
    <t>SCV000852148.1</t>
  </si>
  <si>
    <t>PAH-specific ACMG/AMP criteria applied: PVS1: Nonsense variant; PM2: Extremely low frequency in gnomAD. MAF=0.00002.; PP4_Moderate: Detected in 3 chromosomes of patients with PAH deficiency. BH4 deficiency ruled out. (PMID:8268925). In summary this variant meets criteria to be classified as pathogenic for phenylketonuria in an autosomal recessive manner based on the ACMG/AMP criteria applied as specified by the PAH Expert Panel: (PVS1, PM2, PP4_Moderate).</t>
  </si>
  <si>
    <t>SCV000852146.1</t>
  </si>
  <si>
    <t>PAH-specific ACMG/AMP criteria applied: PM2: Absent from 1000G, ESP. gnomAD MAF:0.00004.; PP3: Predicted deleterious in SIFT, Polyphen-2, MutationTaster. REVEL=0.899; PM3_Strong: Detected in trans with V245A and R261X, both pathogenic (PMID:7981714; PMID:16601866); PP4_Moderate: Detected in 3 patients (1 HPA, 1 PKU). BH4 deficiency excluded in 2 patients. (PMID:8533759; PMID:7981714; PMID:9012412; PMID:16601866). In summary this variant meets criteria to be classified as likely pathogenic for phenylketonuria in an autosomal recessive manner based on the ACMG/AMP criteria applied as specified by the PAH Expert Panel: (PM2, PP3, PM3_Strong, PP4_Moderate).</t>
  </si>
  <si>
    <t>SCV000852161.1</t>
  </si>
  <si>
    <t>PAH-specific ACMG/AMP criteria applied: PP4_Moderate: V2301 seen in 1 patient with PAH deficiency. BH4 deficiency ruled out. Upgraded per ClinGen Metabolism WG. (PMID:8268925); PM3_VeryStrong: Detected in trans with IVS 10-11G&gt;A, L48S, R408W, E390G). Upgraded per ClinGen SVI Workgroup. (PMID:15943553; PMID:21147011). In summary this variant meets criteria to be classified as likely pathogenic for phenylketonuria in an autosomal recessive manner based on the ACMG/AMP criteria applied as specified by the PAH Expert Panel: (PP4_Moderate, PM3_VeryStrong).</t>
  </si>
  <si>
    <t>SCV000852131.1</t>
  </si>
  <si>
    <t>PAH-specific ACMG/AMP criteria applied: BA1: Highest MAF=0.10514 in 1000G. 35 homozygotes in ExAC; BP4: HSF: No significant splicing motif alteration detected. This mutation has probably no impact on splicing. CADD=1.163344. In summary this variant meets criteria to be classified as benign for phenylketonuria in an autosomal recessive manner based on the ACMG/AMP criteria applied as specified by the PAH Expert Panel: (BA1, BP4).</t>
  </si>
  <si>
    <t>SCV000852119.1</t>
  </si>
  <si>
    <t>PAH-specific ACMG/AMP criteria applied: PM2: Extremely low frequency in ExAC (0.00014) and gnomAD (0.0001301); PP3: Deleterious effect predicted in SIFT, PolyPhen2, MutationTaster; PP4_Moderate: Seen in multiple PKU patients. BH4 deficiency excluded in 2 patients. Upgraded per ClinGen Metabolic Workgroup. (PMID:8222245; PMID:11142755); PM3_Strong: R241C seen once in trans with R413P, and once with R243Q, both pathogenic. Upgraded per ClinGen SVI Workgroup. (PMID:11142755); PS3: In vitro PAH R241C mutant was found to have 25% PAH activity of normal. In vivo phenylalanine breath test measured a decreased level in R241C homozygote. (PMID:15319459; PMID:7915167). In summary this variant meets criteria to be classified as pathogenic for phenylketonuria in an autosomal recessive inheritance manner based on the ACMG/AMP criteria applied as specified by the PAH Expert Panel: (PM2, PP3, PP4_Moderate, PM3_Strong, PS3).</t>
  </si>
  <si>
    <t>SCV000852164.1</t>
  </si>
  <si>
    <t>PAH-specific ACMG/AMP criteria applied: PM2: Extremely low frequency in ExAC, gnomAD, 1000G, ESP (0.000077- 0.0001518); PP3: Predicted deleterious in SIFT, PolyPhen2, MutationTaster; PM5: R241C (VarID 102803) is Pathogenic in ClinVar based on 3 submitters; PP4_Moderate: R241H seen in 1 PKU patient. BH4 deficiency ruled out. Upgraded per ClinGen Metabolism WG. (PMID:8268925); PM3_Strong: R241H detected in trans with pathogenic variants (IVS10, R408W, R252W). Upgraded per ClinGen SVI Workgroup. (PMID:9429153). In summary this variant meets criteria to be classified as pathogenic for phenylketonuria in an autosomal recessive manner based on the ACMG/AMP criteria applied as specified by the PAH Expert Panel: (PM2, PP3, PM5, PP4_Moderate, PM3_Strong).</t>
  </si>
  <si>
    <t>SCV000852143.1</t>
  </si>
  <si>
    <t>PAH-specific ACMG/AMP criteria applied: PM2: Absent from 1000G, ESP. Extremely low frequency in ExAC and gnomAD (0.00004065); PP3: Deleterious effect predicted in SIFT, Polyphen2, MutationTaster. REVEL=0.981; PP4_Moderate: L249F was seen 3 times in HPA patients associated with 2 different haplotypes. DHPR defeciency was excluded. Upgraded per ClinGen Metabolic workgroup. (PMID:8533759); PM3_VeryStrong: Seen with R261X, A309V, V388M, R261Q. All Pathogenic/Likely Pathogenic in ClinVar. Upgraded per ClinGen SVI Workgroup (PMID:21871829; PMID:24765287). In summary this variant meets criteria to be classified as pathogenic for phenylketonuria in an autosomal recessive manner based on the ACMG/AMP criteria applied as specified by the PAH Expert Panel: (PM2, PP3, PP4_Moderate, PM3_VeryStrong).</t>
  </si>
  <si>
    <t>SCV000852151.1</t>
  </si>
  <si>
    <t>PAH-specific ACMG/AMP criteria applied: PM2: ; PP3: tools predict damaging; PS3: BioPKU 3% enzyme activity; 3.8% residual activity (PMID:24401910); PM3: Detected in trans with p.Pro407fs (PMID:7833954); PP4_Moderate: Detected in 2 patients with classic PKU (Phe&gt;1.5mM). BH4 deficiency excluded (PMID:7833954; PMID:9634518). In summary this variant meets criteria to be classified as pathogenic for phenylketonuria in an autosomal recessive manner based on the ACMG/AMP criteria applied as specified by the PAH Expert Panel: (PM2, PP3, PS3, PM3, PP4_Moderate).</t>
  </si>
  <si>
    <t>SCV000852163.1</t>
  </si>
  <si>
    <t>PAH-specific ACMG/AMP criteria applied: PVS1: Frameshift variant; PM2: Extremely low frequency. gnomAD MAF=0.00007.; PP4: Detected in a PKU patient. BH4 deficiency not assessed. (PMID:9012412). In summary this variant meets criteria to be classified as pathogenic for phenylketonuria in an autosomal recessive manner based on the ACMG/AMP criteria applied as specified by the PAH Expert Panel: (PVS1, PM2, PP4).</t>
  </si>
  <si>
    <t>SCV000852125.1</t>
  </si>
  <si>
    <t>PAH-specific ACMG/AMP criteria applied: BS1: MAF= 0.01815 in 1000G. 2 homozygotes in ExAC, 1 homozygote in 1000G.; BS3_Supporting: Enzyme activity of K274E is indistinguishable from that of the wild-type protein. Detailed kinetic analyses of PAH expressed in E. coli showed that the K274E mutant protein has kinetic properties similar to that of the wild-type protein. (PMID:11461196). In summary this variant meets criteria to be classified as likely benign for phenylketonuria in an autosomal recessive inheritance manner based on the ACMG/AMP criteria applied as specified by the PAH Expert Panel: (BS1, BS3_Supporting).</t>
  </si>
  <si>
    <t>SCV000852105.1</t>
  </si>
  <si>
    <t>PAH-specific ACMG/AMP criteria applied: PM2: Extremely low frequency in gnomAD+ExAC (MAF=0.00006). Absent from 1000G, ESP.; PP4_Moderate: Detected in Costa Rican and 1 Spanish PKU patients, exclusion of defects in tetrahydrobiopterine metabolism. (PMID:8860005; PMID:8981952); PM3_Strong: Detected in trans with I269L and R408W, known pathogenic variants. (PMID:9521426; PMID:23430918). In summary this variant meets criteria to be classified as likely pathogenic for phenylketonuria in an autosomal recessive manner based on the ACMG/AMP criteria applied as specified by the PAH Expert Panel: (PM2, PP4_Moderate, PM3_Strong).</t>
  </si>
  <si>
    <t>SCV000852122.1</t>
  </si>
  <si>
    <t>PAH-specific ACMG/AMP criteria applied: BS1: &gt;0.02% as set by the PAH specific specifications; BP7: ; BS3_Supporting: cDNA method demonstrates 98% and intinic system demonstrates 81% residual enzyme activity; BS2: 38 homozygotes in gnomAD. In summary this variant meets criteria to be classified as benign for phenylketonuria in an autosomal recessive manner based on the ACMG/AMP criteria applied as specified by the PAH Expert Panel: (BS1, BP7, BS3_Supporting, BS2).</t>
  </si>
  <si>
    <t>SCV000852147.1</t>
  </si>
  <si>
    <t>PAH-specific ACMG/AMP criteria applied: PM2: Extremely low frequency in gnomAD: 0.000008131; PM4: Protein length change as a results of in-frame deletion; PP4_Moderate: T323del found in 2 PKU patients. BH4 deficiency excluded. Upgraded per ClinGen Metabolic workgroup. (PMID:21147011); PM3_Strong: T323del detected with P281 in 1 PKU patient, and L48S in another PKU patient. Both pathogenic. Upgraded per ClinGen SVI Workgroup. (PMID:21147011). In summary this variant meets criteria to be classified as pathogenic for phenylketonuria in an autosomal recessive manner based on the ACMG/AMP criteria applied as specified by the PAH Expert Panel: (PM2, PM4, PP4_Moderate, PM3_Strong).</t>
  </si>
  <si>
    <t>SCV000852121.1</t>
  </si>
  <si>
    <t>PAH-specific ACMG/AMP criteria applied: PM2: chr12-103288654--GAGAAG Absent from population databases; PM4: in-frame insertion. In summary this variant meets criteria to be classified as uncertain significance for phenylketonuria based on the ACMG/AMP criteria applied as specified by the PAH Expert Panel: (PM2, PM4).</t>
  </si>
  <si>
    <t>SCV000852110.1</t>
  </si>
  <si>
    <t>PAH-specific ACMG/AMP criteria applied: PM2: Extremely low frequency in ExAC&amp; gnomAD (MAF 0.00018). Absent from 1000G, ESP. In summary this variant meets criteria to be classified as uncertain significance for phenylketonuria in an autosomal recessive manner based on the ACMG/AMP criteria applied as specified by the PAH Expert Panel: (PM2).</t>
  </si>
  <si>
    <t>SCV000852134.1</t>
  </si>
  <si>
    <t>PAH-specific ACMG/AMP criteria applied: PM2: Absent from ExAC, gnomAD, 1000G, ESP; PP3: Predicted deleterious in SIFT, Polyphen2, MutationTaster. REVEL=0.957; PP4_Moderate: H271L seen in a Chinese PKU patient. BH4 deficiencies excluded. Upgraded per ClinGen Metabolic workgroup. (PMID:26503515). In summary this variant meets criteria to be classified as uncertain significance for phenylketonuria in an autosomal recessive manner based on the ACMG/AMP criteria applied as specified by the PAH Expert Panel: (PM2, PP3, PP4_Moderate).</t>
  </si>
  <si>
    <t>SCV000852109.1</t>
  </si>
  <si>
    <t>PTEN c.-1170C&gt;T (NC_000010.10: g.89623056C&gt;T) is currently classified as a variant of uncertain significance for PTEN Hamartoma Tumor syndrome in an autosomal dominant manner using modified ACMG criteria (Mester et al. 2018; manuscript in preparation). Please see a summary of the rules and criteria codes in the 'PTEN ACMG Specifications Summary' document (assertion method column). BP5: Variant found in multiple cases with alternate molecular basis for disease. (Internal laboratory contributor(s) SCV000149466.6, SCV000184146.1)</t>
  </si>
  <si>
    <t>SCV000840482.1</t>
  </si>
  <si>
    <t>PTEN c.-1311T&gt;C (NC_000010.10:g.89622915T&gt;C) meets criteria to be classified as benign for PTEN Hamartoma Tumor syndrome in an autosomal dominant manner using modified ACMG criteria (Mester et al. 2018; manuscript in preparation). Please see a summary of the rules and criteria codes in the 'PTEN ACMG Specifications Summary' document (assertion method column). BA1: Allele frequency of 0.0142 (1.42%, 23/1618 alleles) in the African subpopulation of the gnomAD cohort. (PMID 27535533)</t>
  </si>
  <si>
    <t>SCV000840491.1</t>
  </si>
  <si>
    <t>PTEN c.1052_1054delTAG (p.V351del) is currently classified as a variant of uncertain significance for PTEN Hamartoma Tumor syndrome in an autosomal dominant manner using modified ACMG criteria (Mester et al. 2018; manuscript in preparation). Please see a summary of the rules and criteria codes in the 'PTEN ACMG Specifications Summary' document (assertion method column). PM2: Absent in large sequenced populations (PMID 27535533).</t>
  </si>
  <si>
    <t>SCV000840493.1</t>
  </si>
  <si>
    <t>SCV000616442.1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</si>
  <si>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BP5, BP7. Additional case-level data provided by: SCV000167210; SCV000207632, Zenker et al.</t>
  </si>
  <si>
    <t>SCV000616394.1</t>
  </si>
  <si>
    <t>This variant was classified using modified ACMG criteria (ClinGen Expert Panel; manuscript in preparation). Please see a summary of the rules and criteria codes in the "ACMG variant classification (RASopathy)" document (assertion method column). The following criteria were met: BP4, BP7. Additional case-level data provided by: SCV000170023, SCV000198459</t>
  </si>
  <si>
    <t>SCV000616403.1</t>
  </si>
  <si>
    <t>SCV000616475.1</t>
  </si>
  <si>
    <t>SCV000616549.1</t>
  </si>
  <si>
    <t>SCV000616577.1</t>
  </si>
  <si>
    <t>SCV000616569.1</t>
  </si>
  <si>
    <t>SCV000564497.2</t>
  </si>
  <si>
    <t>PTEN c.1104T&gt;C (p.D368=) meets criteria to be classified as likely benign for PTEN Hamartoma Tumor syndrome in an autosomal dominant manner using modified ACMG criteria (Mester et al. 2018; manuscript in preparation). Please see a summary of the rules and criteria codes in the 'PTEN ACMG Specifications Summary' document (assertion method column). BS1: Allele frequency of 0.0057 (0.57%, 130/22,966 alleles) in the African subpopulation of the gnomAD cohort. (PMID 27535533) BP4: Synonymous variant where at least 2 out of 3 in silico models predict no splicing impact. BP7: Variant is synonymous (silent), nucleotide is not conserved, and no splicing impact is predicted.</t>
  </si>
  <si>
    <t>SCV000840471.1</t>
  </si>
  <si>
    <t>PTEN c.-1026C&gt;A (NC_000010.10:g.89623200C&gt;A) meets criteria to be classified as likely benign for PTEN Hamartoma Tumor syndrome in an autosomal dominant manner using modified ACMG criteria (Mester et al. 2018; manuscript in preparation). Please see a summary of the rules and criteria codes in the 'PTEN ACMG Specifications Summary' document (assertion method column). BS1: Allele frequency of 0.0056 (0.56%, 173/30,898 alleles) in the gnomAD cohort. (PMID 27535533) BS2_P: Meets criteria for BS2 (observed in the homozygous state in at least one healthy or PHTS-unaffected individual) but BS1 is also applied. (Internal laboratory contributor(s) SCV000171228.5) BP5: Variant found in multiple cases with alternate molecular basis for disease. (Internal laboratory contributor(s) SCV000171228.5)</t>
  </si>
  <si>
    <t>SCV000840478.1</t>
  </si>
  <si>
    <t>PTEN c.-903G&gt;A (NC_000010.10:g.89623323G&gt;A) meets criteria to be classified as benign for PTEN Hamartoma Tumor syndrome in an autosomal dominant manner using modified ACMG criteria (Mester et al. 2018; manuscript in preparation). Please see a summary of the rules and criteria codes in the 'PTEN ACMG Specifications Summary' document (assertion method column). BA1: Allele frequency of 0.011 (1.1%, 343/30,808 alleles) in the gnomAD cohort. (PMID 27535533)</t>
  </si>
  <si>
    <t>SCV000840480.1</t>
  </si>
  <si>
    <t>SCV000616452.1</t>
  </si>
  <si>
    <t>SCV000616495.1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</si>
  <si>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BP5, BP4, BP7. Additional case-level data provided by: SCV000171633</t>
  </si>
  <si>
    <t>SCV000616430.1</t>
  </si>
  <si>
    <t>SCV000616499.1</t>
  </si>
  <si>
    <t>SCV000616502.1</t>
  </si>
  <si>
    <t>SCV000616512.1</t>
  </si>
  <si>
    <t>SCV000616520.1</t>
  </si>
  <si>
    <t>PTEN c.493-2A&gt;G (IVS5-2A&gt;G) meets criteria to be classified as pathogenic for PTEN Hamartoma Tumor syndrome in an autosomal dominant manner using modified ACMG criteria (Mester et al. 2018; manuscript in preparation). Please see a summary of the rules and criteria codes in the 'PTEN ACMG Specifications Summary' document (assertion method column). PVS1: Null variant predicted to result in nonsense-mediated decay or causing truncation/frameshift at or 5' to c.1121 (NM_000314.4). PM6_S: Two probands with presumed de novo occurrence (maternity/paternity not confirmed) in a patient with the disease and no family history. (Internal laboratory contributor(s) SCV000222118.9) PM2: Absent in large sequenced populations.</t>
  </si>
  <si>
    <t>SCV000840458.1</t>
  </si>
  <si>
    <t>PTEN c.50_51delAA (p.Q17RfsX26) meets criteria to be classified as pathogenic for PTEN Hamartoma Tumor syndrome in an autosomal dominant manner using modified ACMG criteria (Mester et al. 2018; manuscript in preparation). Please see a summary of the rules and criteria codes in the 'PTEN ACMG Specifications Summary' document (assertion method column). PVS1: Null variant predicted to result in nonsense-mediated decay or causing truncation/frameshift at or 5' to c.1121 (NM_000314.4). PM2: Present at extremely low (&lt;0.00001, 0.001%) allele frequency in the gnomAD cohort. (PMID 27535533). PS4_P: Proband(s) with phenotype specificity score of 1-1.5. (PMID 20223021)</t>
  </si>
  <si>
    <t>SCV000840481.1</t>
  </si>
  <si>
    <t>PTEN c.737C&gt;T (p.P246L) meets criteria to be classified as pathogenic for PTEN Hamartoma Tumor syndrome in an autosomal dominant manner using modified ACMG criteria (Mester et al. 2018; manuscript in preparation). Please see a summary of the rules and criteria codes in the 'PTEN ACMG Specifications Summary' document (assertion method column). PS2_VS: At least two proven OR one proven plus two assumed de novo observations in a patient with the disease and no family history. (PMID 23934111, internal laboratory contributor(s) SCV000222227.10) PS4: Probands with phenotype specificity score of 4-15.5. (PMID 24375884, PMID 10076877, PMID 22261759, PMID 23934111, internal laboratory contributor(s) SCV000222227.10) PM2: Absent in large sequenced populations. (PMID 27535533). PP2: PTEN is defined by the PTEN Expert Panel as a gene that has a low rate of benign missense variation and where missense variants are a common mechanism of disease.</t>
  </si>
  <si>
    <t>SCV000840469.1</t>
  </si>
  <si>
    <t>PTEN c.802-2A&gt;T (IVS7-2A&gt;T) meets criteria to be classified as pathogenic for PTEN Hamartoma Tumor syndrome in an autosomal dominant manner using modified ACMG criteria (Mester et al. 2018; manuscript in preparation).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 PS4_P: Proband(s) with phenotype specificity score of 1-1.5. (Internal laboratory contributor(s), SCV000222230.9)</t>
  </si>
  <si>
    <t>SCV000840462.1</t>
  </si>
  <si>
    <t>PTEN c.304_306dupAAA (p.K102_P103insK) is currently classified as a variant of uncertain significance for PTEN Hamartoma Tumor syndrome in an autosomal dominant manner using modified ACMG criteria (Mester et al. 2018; manuscript in preparation). Please see a summary of the rules and criteria codes in the 'PTEN ACMG Specifications Summary' document (assertion method column). PM2: Absent in large sequenced populations (PMID 27535533).</t>
  </si>
  <si>
    <t>SCV000840472.1</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</si>
  <si>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met:PS4;PM2;PP1_Moderate;PP3</t>
  </si>
  <si>
    <t>SCV000564442.2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</si>
  <si>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met:PM1;PM2;PM5;PP3;PS4_ Supporting</t>
  </si>
  <si>
    <t>SCV000564433.2</t>
  </si>
  <si>
    <t>This variant was classified using modified ACMG criteria (ClinGen Expert Panel; manuscript in preparation). Please see a summary of the rules and criteria codes in the "ACMG variant classification (RASopathy)" document (assertion method column). The following criteria were met: BP5, BP7. Additional case-level data provided by: SCV000197179; GeneDx internal data</t>
  </si>
  <si>
    <t>SCV000616395.1</t>
  </si>
  <si>
    <t>SCV000564448.2</t>
  </si>
  <si>
    <t>SCV000564492.2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</si>
  <si>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met:PS4;PM1;PM2;PP1_Moderate</t>
  </si>
  <si>
    <t>SCV000564426.2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</si>
  <si>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met:PM1;PM2;PM6;PP3</t>
  </si>
  <si>
    <t>SCV000564411.2</t>
  </si>
  <si>
    <t>The filtering allele frequency of the p.Arg946Cys variant in the MYO6 gene is 0.095% (39/30776) of South Asian chromosomes by the Genome Aggregation Database (http://gnomad.broadinstitute.org; calculated by using inverse allele frequency at https://www.cardiodb.org/allelefrequencyapp/), which is a high enough frequency to be classified as likely benign based on thresholds defined by the ClinGen Hearing Loss Expert Panel for autosomal dominant hearing loss (BS1).</t>
  </si>
  <si>
    <t>SCV000840512.1</t>
  </si>
  <si>
    <t>The c.5039A&gt;G (p.Lys1680Arg) variant in USH2A has been observed in the heterozygous state in one individual with hearing loss (PS4 not met; Partners LMM ClinVar SCV000201911.4). The allele frequency of the p.Lys1680Arg variant is 0.05% (20/34286) of Latino chromosomes by the Genome Aggregation Database (http://gnomad.broadinstitute.org), which is a low enough frequency to award PM2_Supporting based on the thresholds defined by the ClinGen Hearing Loss Expert Panel for autosomal recessive hearing loss (PM2_P). In summary, this variant meets criteria to be classified as a variant of uncertain clinical significance for autosomal recessive nonsyndromic hearing loss based on the ACMG/AMP criteria applied, as specified by the Hearing Loss Expert Panel: PM2_Supporting.</t>
  </si>
  <si>
    <t>SCV000840519.1</t>
  </si>
  <si>
    <t>The c.4510dupA (p.Arg1504LysX26) variant in USH2A is predicted to cause a premature stop codon in biologically-relevant-exon 21/72 that leads to a truncated or absent protein in a gene in which loss-of-function is an established mechanism (PVS1). This variant has been detected in 2 patients with hearing loss in trans with 2 different pathogenic variants (PM3_S; PMID:22135276). The allele frequency of the p.Arg1504LysX26 variant in the USH2A gene is 0.003% (3/111138) of European chromosomes by the Genome Aggregation Database (http://gnomad.broadinstitute.org), which is a low enough frequency to award PM2 based on the thresholds defined by the ClinGen Hearing Loss Expert Panel for autosomal recessive hearing loss (PM2). At least one patient with a variant in this gene displayed features of retinitis pigmentosa (PP4; PMID: 22135276). In summary, this variant meets criteria to be classified as pathogenic for autosomal recessive Usher syndrome based on the ACMG/AMP criteria applied, as specified by the Hearing Loss Expert Panel: PVS1, PM3_S, PM2, PP4.</t>
  </si>
  <si>
    <t>SCV000840511.1</t>
  </si>
  <si>
    <t>SCV000564457.2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</si>
  <si>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met:PS4;PM1;PM2;PM5;PP1_Moderate;PP3</t>
  </si>
  <si>
    <t>SCV000564428.2</t>
  </si>
  <si>
    <t>This variant was classified using modified ACMG criteria (ClinGen Expert Panel; manuscript in preparation). Please see a summary of the rules and criteria codes in the "ACMG variant classification (RASopathy)" document (assertion method column). The following criteria were met: PM1, PM2, PM6_Strong, PP2, PP3, PS4_Supporting. Additional case-level data provided by: SCV000203922, SCV000207755, Cave et al.</t>
  </si>
  <si>
    <t>SCV000616396.1</t>
  </si>
  <si>
    <t>SCV000564458.2</t>
  </si>
  <si>
    <t>SCV000564441.2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</si>
  <si>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met:PS4;PM1;PM2;PP3</t>
  </si>
  <si>
    <t>SCV000564432.2</t>
  </si>
  <si>
    <t>This variant was classified using modified ACMG criteria (ClinGen Expert Panel, Kelly et al. manuscript in preparation). Please see a summary of the rules and criteria codes in the "ACMG variant classification (MYH7)" document (assertion method column). The following criteria were met:PM1;PM2;PP1_Moderate;PS4_ Supporting;BS4</t>
  </si>
  <si>
    <t>SCV000564435.2</t>
  </si>
  <si>
    <t>SCV000564416.2</t>
  </si>
  <si>
    <t>The allele frequency of the deletion of exon 63 and 64 in the USH2A gene is in 0.02% (1/5083) of African chromosomes by the Exome Aggregation Consortium (http://exac.broadinstitute.org), which is a low enough frequency to award PM2_Supporting based on the thresholds defined by the ClinGen Hearing Loss Expert Panel for autosomal recessive hearing loss (PM2_Supporting). The variant is a multi-exon deletion that leads to a truncation of a functionally important region in a gene where loss-of-function is an established disease mechanism (PVS1_Strong). This variant has been detected as homozygous in one proband with Usher syndrome, as compound heterozygous with p.Arg334Gly in one proband with hearing loss and light sensitivity, and as compound heterozygous with p.Tyr3747X in one proband with hearing loss (PM3; Partners LMM internal data SCV000204167.4). At least one patient with a variant in this gene displayed features of moderate to severe hearing loss and retinitis pigmentosa (PP4; Partners LMM internal data SCV000204167.4). In summary, this variant meets criteria to be classified as likely pathogenic for autosomal recessive Usher syndrome based on the ACMG/AMP criteria applied, as specified by the Hearing Loss Expert Panel: PVS1_Strong, PM3, PM2_Supporting, PP4.</t>
  </si>
  <si>
    <t>SCV000840526.1</t>
  </si>
  <si>
    <t>SCV000564501.2</t>
  </si>
  <si>
    <t>SCV000616541.1</t>
  </si>
  <si>
    <t>SCV000616584.1</t>
  </si>
  <si>
    <t>SCV000616446.1</t>
  </si>
  <si>
    <t>The filtering allele frequency of the c.701A&gt;G (p.Gln234Arg) variant in the TECTA gene is 0.37% (104/23994) of African chromosomes by the Genome Aggregation Database (http://gnomad.broadinstitute.org; calculated by using inverse allele frequency at https://www.cardiodb.org/allelefrequencyapp/), which is a high enough frequency to be classified as likely benign based on the thresholds defined by the ClinGen Hearing Loss Expert Panel for autosomal recessive hearing loss variants (BS1).</t>
  </si>
  <si>
    <t>SCV000840522.1</t>
  </si>
  <si>
    <t>The filtering allele frequency of the c.1436C&gt;T (p.Pro479Leu) variant in the TECTA gene is 0.63% (219/30782) of South Asian chromosomes by the Genome Aggregation Database (http://gnomad.broadinstitute.org; calculated by using inverse allele frequency at https://www.cardiodb.org/allelefrequencyapp/), which is a high enough frequency to be classified as benign based on thresholds defined by the ClinGen Hearing Loss Expert Panel for autosomal recessive hearing loss variants (BA1).</t>
  </si>
  <si>
    <t>SCV000840509.1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</si>
  <si>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BP5, BP7. Additional case-level data provided by: SCV000209007; SCV000205113</t>
  </si>
  <si>
    <t>SCV000616427.1</t>
  </si>
  <si>
    <t>The p.Arg80Ter variant in MYO6 is predicted to cause a premature stop codon in biologically-relevant-exon 4 of a total of 35 exons, and is expected to lead to a truncated or absent protein. Loss of function in MYO6 is an established disease mechanism for autosomal dominant hearing loss (PVS1). The allele frequency of this variant is 0.0009% (1/111322) of European chromosomes by the Genome Aggregation Database ( http://gnomad.broadinstitute.org), which is a low enough frequency to award PM2 based on the thresholds defined by the ClinGen Hearing Loss Expert Panel for autosomal dominant hearing loss (PM2). In summary, this variant meets criteria to be classified as likely pathogenic for autosomal dominant nonsyndromic hearing loss based on the ACMG/AMP criteria applied as specified by the Hearing Loss Expert Panel: (PVS1, PM2).</t>
  </si>
  <si>
    <t>SCV000840523.1</t>
  </si>
  <si>
    <t>The p.Gly2726Glu variant in USH2A was identified in 0.003% (3/111282) of European chromosomes by the Genome Aggregation Database (http://gnomad.broadinstitute.org), which is a low enough frequency to award PM2 based on the thresholds defined by the ClinGen Hearing Loss Expert Panel autosomal recessive hearing loss (PM2). In summary, the clinical significance of this variant is uncertain. ACMG/AMG criteria applied: PM2.</t>
  </si>
  <si>
    <t>SCV000840525.1</t>
  </si>
  <si>
    <t>SCV000616578.1</t>
  </si>
  <si>
    <t>SCV000616485.1</t>
  </si>
  <si>
    <t>SCV000616492.1</t>
  </si>
  <si>
    <t>This variant was classified using modified ACMG criteria (ClinGen Expert Panel; manuscript in preparation). Please see a summary of the rules and criteria codes in the "ACMG variant classification (RASopathy)" document (assertion method column). The following criteria were met: PM2</t>
  </si>
  <si>
    <t>SCV000616431.1</t>
  </si>
  <si>
    <t>SCV000616449.1</t>
  </si>
  <si>
    <t>PTEN c.1026+1G&gt;A (IVS8+1G&gt;A) meets criteria to be classified as pathogenic for PTEN Hamartoma Tumor syndrome in an autosomal dominant manner using modified ACMG criteria (Mester et al. 2018; manuscript in preparation). Please see a summary of the rules and criteria codes in the 'PTEN ACMG Specifications Summary' document (assertion method column). PVS1: Null variant predicted to result in nonsense-mediated decay or causing truncation/frameshift at or 5' to c.1121 (NM_000314.4) (PMID 28677221). PM2: Absent in large sequenced populations (PMID 27535533). PS4_M: Probands with phenotype specificity score of 2-3.5. (PMID 28677221, internal laboratory contributor(s) SCV000212764.4)</t>
  </si>
  <si>
    <t>SCV000840497.1</t>
  </si>
  <si>
    <t>PTEN c.78C&gt;T (p.T26=) is currently classified as a variant of uncertain significance for PTEN Hamartoma Tumor syndrome in an autosomal dominant manner using modified ACMG criteria (Mester et al. 2018; manuscript in preparation). Please see a summary of the rules and criteria codes in the 'PTEN ACMG Specifications Summary' document (assertion method column). PM2: Present at extremely low (&lt;0.00001, 0.001%) allele frequency in the gnomAD cohort. (PMID 27535533). BP7: Variant is synonymous (silent), nucleotide is not conserved, and no splicing impact is predicted.</t>
  </si>
  <si>
    <t>SCV000840494.1</t>
  </si>
  <si>
    <t>PTEN c.75G&gt;A (p.L25=) is currently classified as a variant of uncertain significance for PTEN Hamartoma Tumor syndrome in an autosomal dominant manner using modified ACMG criteria (Mester et al. 2018; manuscript in preparation). Please see a summary of the rules and criteria codes in the 'PTEN ACMG Specifications Summary' document (assertion method column). BP7: Variant is synonymous (silent), nucleotide is not conserved, and no splicing impact is predicted.</t>
  </si>
  <si>
    <t>SCV000840466.1</t>
  </si>
  <si>
    <t>PTEN c.964A&gt;T (p.K322X) meets criteria to be classified as likely pathogenic for PTEN Hamartoma Tumor syndrome in an autosomal dominant manner using modified ACMG criteria (Mester et al. 2018; manuscript in preparation).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t>
  </si>
  <si>
    <t>SCV000840475.1</t>
  </si>
  <si>
    <t>PTEN c.209+3A&gt;T (IVS3+3A&gt;T) is currently classified as a variant of uncertain significance for PTEN Hamartoma Tumor syndrome in an autosomal dominant manner using modified ACMG criteria (Mester et al. 2018; manuscript in preparation). Please see a summary of the rules and criteria codes in the 'PTEN ACMG Specifications Summary' document (assertion method column). PM2: Absent in large sequenced populations (PMID 27535533). PP3: At least 2 out of 3 in silico models predict a splicing impact.</t>
  </si>
  <si>
    <t>SCV000840485.1</t>
  </si>
  <si>
    <t>PTEN c.165-1G&gt;A (IVS2-1G&gt;A) meets criteria to be classified as likely pathogenic for PTEN Hamartoma Tumor syndrome in an autosomal dominant manner using modified ACMG criteria (Mester et al. 2018; manuscript in preparation).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t>
  </si>
  <si>
    <t>SCV000840484.1</t>
  </si>
  <si>
    <t>PTEN c.892C&gt;T (p.Q298X) meets criteria to be classified as pathogenic for PTEN Hamartoma Tumor syndrome in an autosomal dominant manner using modified ACMG criteria (Mester et al. 2018; manuscript in preparation).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 PS4_P: Proband(s) with phenotype specificity score of 1-1.5. (PMID 23470840)</t>
  </si>
  <si>
    <t>SCV000840489.1</t>
  </si>
  <si>
    <t>PTEN c.1171C&gt;T (p.P391S) is currently classified as a variant of uncertain significance for PTEN Hamartoma Tumor syndrome in an autosomal dominant manner using modified ACMG criteria (Mester et al. 2018; manuscript in preparation). Please see a summary of the rules and criteria codes in the 'PTEN ACMG Specifications Summary' document (assertion method column). PM2: Present at extremely low (&lt;0.00001, 0.001%) allele frequency in the gnomAD cohort. (PMID 27535533). PP2: PTEN is defined by the PTEN Expert Panel as a gene that has a low rate of benign missense variation and where missense variants are a common mechanism of disease.</t>
  </si>
  <si>
    <t>SCV000840495.1</t>
  </si>
  <si>
    <t>SCV000564465.2</t>
  </si>
  <si>
    <t>The p.Ile124Tyrfs variant in SLC26A4 is predicted to cause a premature stop codon in biologically-relevant-exon 4/21 that leads to a truncated or absent protein in a gene in which loss-of-function is an established mechanism (PVS1). The allele frequency of the p.Ile124fs variant is in 0.003% (1/30782) of South Asian chromosomes by the Genome Aggregation Database (http://gnomad.broadinstitute.org), which is a low enough frequency to award PM2 based on the thresholds defined by the ClinGen Hearing Loss Expert Panel for autosomal recessive hearing loss (PM2). At least one patient with the variant displayed features of enlarged vestibular aqueduct and Mondini malformation which are consistent with Pendred syndrome (PP4; PMID:15679828). This variant has been detected in 2 patients with hearing loss in trans with suspected pathogenic variants (PM3_P, PMID:15679828). In summary, this variant meets criteria to be classified as pathogenic for autosomal recessive Pendred syndrome based on the ACMG/AMP criteria applied: PVS1, PM2, PP4, PM3_P.</t>
  </si>
  <si>
    <t>SCV000840531.1</t>
  </si>
  <si>
    <t>PTEN c.407G&gt;A (p.C136Y) meets criteria to be classified as pathogenic for PTEN Hamartoma Tumor syndrome in an autosomal dominant manner using modified ACMG criteria (Mester et al. 2018; manuscript in preparation). Please see a summary of the rules and criteria codes in the 'PTEN ACMG Specifications Summary' document (assertion method column). PS2: De novo (both maternity and paternity confirmed) observation in a patient with the disease and no family history. (Internal laboratory contributor(s) SCV000222113.9) PS3: Phosphatase activity &lt;50% of wild-type OR RNA, mini-gene, or other assay shows impact on splicing. (PMID 10866302) PM2: Absent in large sequenced populations (PMID 27535533). PP2: PTEN is defined by the PTEN Expert Panel as a gene that has a low rate of benign missense variation and where missense variants are a common mechanism of disease. PS4_P: Probands with specificity score of 1-1.5. (PMID 9735393, internal laboratory contributor(s) SCV000222113.9)</t>
  </si>
  <si>
    <t>SCV000840468.1</t>
  </si>
  <si>
    <t>PTEN c.511C&gt;T (p.Q171X) meets criteria to be classified as pathogenic for PTEN Hamartoma Tumor syndrome in an autosomal dominant manner using modified ACMG criteria (Mester et al. 2018; manuscript in preparation).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 PM6: Assumed de novo, but without confirmation of paternity and maternity in a patient with the disease and no family history. (PMID 22595938) PS4_M: Probands with phenotype specificity score of 2-3.5. (PMID 17043057, PMID 22595938)</t>
  </si>
  <si>
    <t>SCV000840464.1</t>
  </si>
  <si>
    <t>PTEN c.165-13_165-10delGTTT (IVS2-13_IVS2-10delGTTT) meets criteria to be classified as likely benign for PTEN Hamartoma Tumor syndrome in an autosomal dominant manner using modified ACMG criteria (Mester et al. 2018; manuscript in preparation). Please see a summary of the rules and criteria codes in the 'PTEN ACMG Specifications Summary' document (assertion method column). BS1: Allele frequency of 0.0049 (0.49%, 112/22,776 alleles) in the African subpopulation of the gnomAD cohort. (PMID 27535533) BP4: Intronic variant where at least 2 out of 3 in silico models predict no splicing impact.</t>
  </si>
  <si>
    <t>SCV000840473.1</t>
  </si>
  <si>
    <t>PTEN c.360A&gt;C (p.A120=) meets criteria to be classified as likely benign for PTEN Hamartoma Tumor syndrome in an autosomal dominant manner using modified ACMG criteria (Mester et al. 2018; manuscript in preparation). Please see a summary of the rules and criteria codes in the 'PTEN ACMG Specifications Summary' document (assertion method column). BP4: Synonymous variant where at least 2 out of 3 in silico models predict no splicing impact. BP7: Variant is synonymous (silent), nucleotide is not conserved, and no splicing impact is predicted.</t>
  </si>
  <si>
    <t>SCV000840492.1</t>
  </si>
  <si>
    <t>PTEN c.987_990delTAAA (p.N329KfsX14) meets criteria to be classified as pathogenic for PTEN Hamartoma Tumor syndrome in an autosomal dominant manner using modified ACMG criteria (Mester et al. 2018; manuscript in preparation).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 PS4_P: Proband(s) with phenotype specificity score of 1-1.5. (PMID 10232405)</t>
  </si>
  <si>
    <t>SCV000840476.1</t>
  </si>
  <si>
    <t>PTEN c.80-1G&gt;C (IVS1-1G&gt;C) meets criteria to be classified as likely pathogenic for PTEN Hamartoma Tumor syndrome in an autosomal dominant manner using modified ACMG criteria (Mester et al. 2018; manuscript in preparation).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t>
  </si>
  <si>
    <t>SCV000840486.1</t>
  </si>
  <si>
    <t>PTEN c.517C&gt;T (p.R173C) meets criteria to be classified as pathogenic for PTEN Hamartoma Tumor syndrome in an autosomal dominant manner using modified ACMG criteria (Mester et al. 2018; manuscript in preparation). Please see a summary of the rules and criteria codes in the 'PTEN ACMG Specifications Summary' document (assertion method column). PS2_VS: At least two proven OR one proven plus two assumed de novo observations in a patient with the disease and no family history. (PMID 17526800, PMID 22628360, internal laboratory contributor(s) SCV000222220.10) PS3: Phosphatase activity &lt;50% of wild type. (PMID 10866302) PM2: Absent in large sequenced populations (PMID 27535533). PS4_M: Probands with phenotype specificity score of 2-3.5. (PMID 22628360, PMID 17526800, PMID 17526801) PP1: Co-segregation with disease in multiple affected family members, with 3 or 4 meioses observed. (PMID 22628360) PP2: PTEN is defined by the PTEN Expert Panel as a gene that has a low rate of benign missense variation and where missense variants are a common mechanism of disease.</t>
  </si>
  <si>
    <t>SCV000840496.1</t>
  </si>
  <si>
    <t>PTEN c.-1059C&gt;G (NC_000010.10:g.89623167C&gt;G) meets criteria to be classified as benign for PTEN Hamartoma Tumor syndrome in an autosomal dominant manner using modified ACMG criteria (Mester et al. 2018; manuscript in preparation). Please see a summary of the rules and criteria codes in the 'PTEN ACMG Specifications Summary' document (assertion method column). BA1: Allele frequency of 0.0138 (1.38%, 120/8698 alleles) in the African subpopulation of the gnomAD cohort. (PMID 27535533)</t>
  </si>
  <si>
    <t>SCV000840479.1</t>
  </si>
  <si>
    <t>The c.8682-9A&gt;G variant in USH2A has been detected in patients with hearing loss in trans with at least 4 pathogenic or suspected-pathogenic variants (PM3_VS; PMID: 27318125, 25425308, 28944237, 23591405). The allele frequency of the c.8682-9A&gt;G variant in the USH2A gene is 0.04% (5/10112) of Ashkenazi Jewish chromosomes by the Genome Aggregation Database (http://gnomad.broadinstitute.org), which is a low enough frequency to award PM2_Supporting based on the thresholds defined by the ClinGen Hearing Loss Expert Panel for autosomal recessive hearing loss (PM2_P). At least one patient with this variant displayed features of retinitis pigmentosa and hearing loss which is consistent with Usher syndrome (PP4; PMID: 27318125, 25425308, 28944237, 23591405). Computational prediction tools and conservation analysis suggest that the c.8682-9A&gt;G variant may impact the protein (PP3). In summary, this variant meets criteria to be classified as pathogenic for autosomal recessive usher syndrome based on the ACMG/AMP criteria applied, as specified by the Hearing Loss Expert Panel: PM3_VS, PM2_Supporting, PP4, PP3.</t>
  </si>
  <si>
    <t>SCV000840545.1</t>
  </si>
  <si>
    <t>SCV000616522.1</t>
  </si>
  <si>
    <t>The c.14419G&gt;A (p.Ala4807Thr) variant in USH2A has been observed in at least one individual with hearing loss (Partners LMM ClinVar SCV000272892.2; PS4 not met). The variant has been observed in 0.01% (5/30782) of South Asian chromosomes by the Genome Aggregation Database (http://gnomad.broadinstitute.org), which is a low enough frequency to award PM2_Supporting based on the thresholds defined by the ClinGen Hearing Loss Expert Panel for autosomal recessive hearing loss (PM2_Supporting). In summary, the clinical significance of this variant is uncertain. ACMG/AMP criteria applied, as specified by the Hearing Loss Expert Panel: PM2_Supporting.</t>
  </si>
  <si>
    <t>SCV000840539.1</t>
  </si>
  <si>
    <t>PTEN c.521A&gt;G (p.Y174C) meets criteria to be classified as likely pathogenic for PTEN Hamartoma Tumor syndrome in an autosomal dominant manner using modified ACMG criteria (Mester et al. 2018; manuscript in preparation). Please see a summary of the rules and criteria codes in the 'PTEN ACMG Specifications Summary' document (assertion method column). PS2: De novo (both maternity and paternity confirmed) observation in a patient with the disease and no family history. (Internal laboratory contributor(s) SCV000602123.1) PM2: Absent in large sequenced populations (PMID 27535533). PP2: PTEN is defined by the PTEN Expert Panel as a gene that has a low rate of benign missense variation and where missense variants are a common mechanism of disease. PS4_P: Proband(s) with phenotype specificity score of 1-1.5. (Internal laboratory contributor(s) SCV000602123.1)</t>
  </si>
  <si>
    <t>SCV000840459.1</t>
  </si>
  <si>
    <t>SCV000616474.1</t>
  </si>
  <si>
    <t>PAH-specific ACMG/AMP criteria applied: PM2: Absent from 1000G, ESP. Extremely low frequency in ExAC and gnomAD ( 0.00001, 0.000004063); PP3: Predicted deleterious in SIFT, Polyphen2, MutationTaster. REVEL=0.975; PP4_Moderate: Q267L found in 1 Japanese PKU allele and in 1 Chinese PKU patient. Analysis of dihydropteridine reductase activity in red blood cells, biopterin loading test and/or pteridine analysis in urine was performed in the Japanese study. Upgraded per ClinGen Metabolic workgroup. (PMID:21307867; PMID:24078561; PMID:26503515). In summary this variant meets criteria to be classified as uncertain significance for phenylketonuria in an autosomal recessive manner based on the ACMG/AMP criteria applied as specified by the PAH Expert Panel: (PM2, PP3, PP4_Moderate).</t>
  </si>
  <si>
    <t>SCV000852111.1</t>
  </si>
  <si>
    <t>The silent p.Thr240= variant in KCNQ4 is not predicted by computational tools to impact splicing (BP7. BP4). The variant is absent from the Genome Aggregation Database (http://gnomad.broadinstitute.org), however this is not considered evidence against a likely benign classification. In summary, this variant meets criteria to be classified as likely benign. ACMG/AMP criteria applied: BP7, BP4.</t>
  </si>
  <si>
    <t>SCV000840544.1</t>
  </si>
  <si>
    <t>The p.Asp127Gly variant in CDH23 was absent from the Genome Aggregation Database (http://gnomad.broadinstitute.org) (PM2). Computational prediction analysis using the metapredictor tool REVEL suggests that the variant may impact the protein (PP3). This variant has been detected in 1 patient with hearing loss in trans with a pathogenic variant (PM3; Partners LMM internal data SCV000271558.2). The patient with this variant displayed features of congenital severe-profound hearing loss with vestibular dysfunction and ophthalmic findings which are consistent with Usher syndrome (PP4). In summary, this variant meets criteria to be classified as likely pathogenic for autosomal recession Usher syndrome based on the ACMG/AMP criteria applied (PM2, PM3, PP3, PP4).</t>
  </si>
  <si>
    <t>SCV000840533.1</t>
  </si>
  <si>
    <t>CDH23</t>
  </si>
  <si>
    <t>PTEN c.103A&gt;G (p.M35V) meets criteria to be classified as likely pathogenic for PTEN Hamartoma Tumor syndrome in an autosomal dominant manner using modified ACMG criteria (Mester et al. 2018; manuscript in preparation). Please see a summary of the rules and criteria codes in the 'PTEN ACMG Specifications Summary' document (assertion method column). PS2: De novo (both maternity and paternity confirmed) observation in a patient with the disease and no family history. (Internal laboratory contributor(s) SCV000275912.5) PM2: Absent in large sequenced populations (PMID 27535533). PS4_M: Probands with phenotype specificity score of 2-3.5. (Internal laboratory contributor(s) SCV000565444.4, SCV000275912.5) PP2: PTEN is defined by the PTEN Expert Panel as a gene that has a low rate of benign missense variation and where missense variants are a common mechanism of disease.</t>
  </si>
  <si>
    <t>SCV000840461.1</t>
  </si>
  <si>
    <t>PTEN c.18A&gt;G (p.L6=) meets criteria to be classified as likely benign for PTEN Hamartoma Tumor syndrome in an autosomal dominant manner using modified ACMG criteria (Mester et al. 2018; manuscript in preparation). Please see a summary of the rules and criteria codes in the 'PTEN ACMG Specifications Summary' document (assertion method column). BP4: Synonymous variant where at least 2 out of 3 in silico models predict no splicing impact. BP7: Variant is synonymous (silent), nucleotide is not conserved, and no splicing impact is predicted.</t>
  </si>
  <si>
    <t>SCV000840488.1</t>
  </si>
  <si>
    <t>SCV000616470.1</t>
  </si>
  <si>
    <t>SCV000616564.1</t>
  </si>
  <si>
    <t>PAH-specific ACMG/AMP criteria applied: PM2: Absent from ExAC, gnomAD, 1000G, ESP; PP3: Predicted deleterious in SIFT, PolyPhen2, Mutation Taster. REVEL=0.952. In summary this variant meets criteria to be classified as uncertain significance for phenylketonuria in an autosomal recessive manner based on the ACMG/AMP criteria applied as specified by the PAH Expert Panel: (PM2, PP3).</t>
  </si>
  <si>
    <t>SCV000852100.1</t>
  </si>
  <si>
    <t>The filtering allele frequency of the p.Ala5165Gly variant in the USH2A gene is 0.21% (63/24034) of African chromosomes chromosomes by the Genome Aggregation Database (http://gnomad.broadinstitute.org; calculated by using inverse allele frequency at https://www.cardiodb.org/allelefrequencyapp/), which is a higher frequency than would be expected for an autosomal recessive pathogenic variant based on the thresholds defined by the ClinGen Hearing Loss Expert Panel (BS1_Supporting). Computational prediction tools and conservation analysis suggest that this variant may not impact the protein (BP4). In summary, this variant meets criteria to be classified as likely benign based on the ACMG/AMP criteria applied (BS1_Supporting, BP4).</t>
  </si>
  <si>
    <t>SCV000840503.1</t>
  </si>
  <si>
    <t>SCV000616481.1</t>
  </si>
  <si>
    <t>PAH-specific ACMG/AMP criteria applied: BP4: In silico overwhelmingly predict benign. REVEL = 0.553; PP4: Detected in a patient with non PKU hyperphe (PMID:11244681); PM3: H100R detected with IVS10 (PMID:11244681). In summary this variant meets criteria to be classified as uncertain significance for phenylketonuria in an autosomal recessive manner based on the ACMG/AMP criteria applied as specified by the PAH Expert Panel: (BP4, PP4, PM3).</t>
  </si>
  <si>
    <t>SCV000852112.1</t>
  </si>
  <si>
    <t>SCV000616448.1</t>
  </si>
  <si>
    <t>SCV000616490.1</t>
  </si>
  <si>
    <t>The filtering allele frequency of the c.-22-2A&gt;G variant in the GJB2 gene is 0.35% for Ashkenazi Jewish chromosomes in the Genome Aggregation Database (46/10134 with 95% CI), which meets the allele frequency threshold defined by the ClinGen Hearing Loss Expert Panel for considering strong evidence against pathogenicity for autosomal recessive hearing loss variants (BS1). However, the c.-22-2A&gt;C variant in the GJB2 gene has been detected in 5 patients with hearing loss in trans with the pathogenic c.35delG variant (PM3_S; PMID: 25401782, 24039984). This variant has been reported to segregate with hearing loss in at least 2 family members (PP1_M; PMID: 24039984). A functional study demonstrates that this variant may impact protein function (PS3_P; PMID: 24039984). In summary, due to its high allele frequency and insufficient evidence of pathogenicity, this variant has been classified as uncertain clinical significance for autosomal recessive hearing loss based on the ACMG/AMP criteria applied, as specified by the Hearing Loss Expert Panel: PM3_S, PP1_M, PS3_Supporting, BS1.</t>
  </si>
  <si>
    <t>SCV000840501.1</t>
  </si>
  <si>
    <t>PAH-specific ACMG/AMP criteria applied: BP4: Tolerated in SIFT, benign in Polyphen-2, Polymorphism in MutationTaster. REVEL=0.511; PP4: Seen in patient with mild HPA (PMID:17627389). In summary this variant meets criteria to be classified as uncertain significance for phenylketonuria in an autosomal recessive manner based on the ACMG/AMP criteria applied as specified by the PAH Expert Panel: (BP4, PP4).</t>
  </si>
  <si>
    <t>SCV000852114.1</t>
  </si>
  <si>
    <t>SCV000616572.1</t>
  </si>
  <si>
    <t>SCV000616586.1</t>
  </si>
  <si>
    <t>SCV000616551.1</t>
  </si>
  <si>
    <t>PTEN c.801+1delG (IVS7+1delG) meets criteria to be classified as likely pathogenic for PTEN Hamartoma Tumor syndrome in an autosomal dominant manner using modified ACMG criteria (Mester et al. 2018; manuscript in preparation).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t>
  </si>
  <si>
    <t>SCV000840487.1</t>
  </si>
  <si>
    <t>PTEN c.44G&gt;A (p.R15K) is currently classified as a variant of uncertain significance for PTEN Hamartoma Tumor syndrome in an autosomal dominant manner using modified ACMG criteria (Mester et al. 2018; manuscript in preparation). Please see a summary of the rules and criteria codes in the 'PTEN ACMG Specifications Summary' document (assertion method column). PM2: Absent in large sequenced populations (PMID 27535533). PP2: PTEN is defined by the PTEN Expert Panel as a gene that has a low rate of benign missense variation and where missense variants are a common mechanism of disease. PS3_P: Abnormal in vitro cellular assay or transgenic model with phenotype different from wild type that does not meet PS3. (PMID 25875300)</t>
  </si>
  <si>
    <t>SCV000840474.1</t>
  </si>
  <si>
    <t>SCV000616461.1</t>
  </si>
  <si>
    <t>SCV000616451.1</t>
  </si>
  <si>
    <t>PAH-specific ACMG/AMP criteria applied: PP3: HSF: Broken WT Donor Site, New Donor Site. MaxEnt: Broken WT Donor Site.; PM2: Absent from ExAC, gnomAD, 1000G, ESP; PP4_Moderate: IVS7+4A&gt;G seen in 2 PKU patients. BH4 deficiency was ruled out. Upgraded per ClinGen PAH EP. (PMID:21147011); PM3: Detected in trans with A300S, pathogenic in ClinVar (PMID:21147011). In summary this variant meets criteria to be classified as likely pathogenic for phenylketonuria in an autosomal recessive manner based on the ACMG/AMP criteria applied as specified by the PAH Expert Panel: (PP3, PM2, PP4_Moderate, PM3).</t>
  </si>
  <si>
    <t>SCV000852104.1</t>
  </si>
  <si>
    <t>The c.677T&gt;G (p.Val226Gly) variant has been identified in the heterozygous state in one individual with sensorineural hearing loss and one individual with breast or ovarian cancer in the literature (PS4 not met; 17666888 27153395). The allele frequency of the p.Val226Gly variant in the GJB2 gene is 0.003% (1/343458) of Latino chromosomes by the Genome Aggregation Database (http://gnomad.broadinstitute.org), which is a low enough frequency to award PM2 based on the thresholds defined by the ClinGen Hearing Loss Expert Panel for autosomal recessive hearing loss (PM2). In summary, this variant meets criteria to be classified as a variant of uncertain clinical significance for autosomal recessive nonsyndromic hearing loss based on the ACMG/AMP criteria applied, as specified by the Hearing Loss Expert Panel: PM2.</t>
  </si>
  <si>
    <t>SCV000840534.1</t>
  </si>
  <si>
    <t>SCV000616447.1</t>
  </si>
  <si>
    <t>SCV000616455.1</t>
  </si>
  <si>
    <t>SCV000616459.1</t>
  </si>
  <si>
    <t>SCV000616465.1</t>
  </si>
  <si>
    <t>SCV000616473.1</t>
  </si>
  <si>
    <t>SCV000616482.1</t>
  </si>
  <si>
    <t>SCV000616488.1</t>
  </si>
  <si>
    <t>SCV000616489.1</t>
  </si>
  <si>
    <t>SCV000616491.1</t>
  </si>
  <si>
    <t>SCV000616493.1</t>
  </si>
  <si>
    <t>SCV000616494.1</t>
  </si>
  <si>
    <t>SCV000616496.1</t>
  </si>
  <si>
    <t>SCV000616497.1</t>
  </si>
  <si>
    <t>SCV000616498.1</t>
  </si>
  <si>
    <t>SCV000616500.1</t>
  </si>
  <si>
    <t>SCV000616501.1</t>
  </si>
  <si>
    <t>This variant was classified using modified ACMG criteria (ClinGen Expert Panel; manuscript in preparation). Please see a summary of the rules and criteria codes in the "ACMG variant classification (RASopathy)" document (assertion method column). The following criteria were met: BS1. Auto-classified</t>
  </si>
  <si>
    <t>SCV000616504.1</t>
  </si>
  <si>
    <t>This variant was classified using modified ACMG criteria (ClinGen Expert Panel; manuscript in preparation). Please see a summary of the rules and criteria codes in the "ACMG variant classification (RASopathy)" document (assertion method column). The following criteria were met: BA1. Auto-classified</t>
  </si>
  <si>
    <t>SCV000616505.1</t>
  </si>
  <si>
    <t>SCV000616507.1</t>
  </si>
  <si>
    <t>SCV000616508.1</t>
  </si>
  <si>
    <t>SCV000616515.1</t>
  </si>
  <si>
    <t>SCV000616517.1</t>
  </si>
  <si>
    <t>SCV000616525.1</t>
  </si>
  <si>
    <t>SCV000616526.1</t>
  </si>
  <si>
    <t>SCV000616527.1</t>
  </si>
  <si>
    <t>SCV000616529.1</t>
  </si>
  <si>
    <t>SCV000616555.1</t>
  </si>
  <si>
    <t>SCV000616559.1</t>
  </si>
  <si>
    <t>SCV000616567.1</t>
  </si>
  <si>
    <t>SCV000616573.1</t>
  </si>
  <si>
    <t>SCV000616587.1</t>
  </si>
  <si>
    <t>SCV000616589.1</t>
  </si>
  <si>
    <t>SCV000616590.1</t>
  </si>
  <si>
    <t>The c.825G&gt;C (p.Trp275Cys) variant was found in one patient with hearing loss (PS4 not met; Partners LMM ClinVar SCV000712456.1). The p.Trp275Cys variant in the KCNQ4 gene was absent from the Genome Aggregation Database (http://gnomad.broadinstitute.org) (PM2). A different pathogenic missense variant (p.Trp275Arg) and a likely pathogenic missense variant (p.Trp275Ser) have been previously identified at this codon of KCNQ4 which may indicate that this residue is critical to the function of the protein (PM5; ClinVar Variation ID 6242, PMID: 25116015, 20301388; ClinVar Variation ID 372951). Furthermore, the variant is in a location that has been defined by the ClinGen Hearing Loss Expert Panel to be a mutational hotspot or domain of KCNQ4 (PM1; PMID: 23717403 https://www.uniprot.org/uniprot/P56696). Computational prediction tools and conservation analysis suggest that the p.Trp275Cys variant may impact the protein (PP3). In summary, this variant meets criteria to be classified as likely pathogenic for autosomal dominant non-syndromic hearing loss based on the ACMG/AMP criteria applied as specified by the Hearing Loss Expert Panel: (PM2, PM5, PM1, PP3).</t>
  </si>
  <si>
    <t>SCV000840505.1</t>
  </si>
  <si>
    <t>The p.Tyr3747X variant in USH2A is predicted to cause a premature stop codon in biologically-relevant-exon 58/72 that leads to a truncated or absent protein in a gene in which loss-of-function is an established mechanism (PVS1). The allele frequency of the p.Tyr3747X variant in the Ush2A gene is 0.017% (4/24020) of African chromosomes by the Genome Aggregation Database (http://gnomad.broadinstitute.org), which is a low enough frequency to award PM2_Supporting based on the thresholds defined by the ClinGen Hearing Loss Expert Panel for autosomal recessive hearing loss ( PM2_Supporting). This variant has been detected in 1 patient with hearing loss in trans with a suspected pathogenic variant (PM3_Supporting, Partners LMM internal data SCV000713838.1). In summary, this variant meets criteria to be classified as pathogenic for autosomal recessive Usher syndrome based on the ACMG/AMP criteria applied: PVS1, PM2_Supporting, PM3_Supporting.</t>
  </si>
  <si>
    <t>SCV000840528.1</t>
  </si>
  <si>
    <t>The allele frequency of the p.Arg505His variant in MYO7A is 0.035% (8/23150) South Asian chromosomes by the Genome Aggregation Database (http://gnomad.broadinstitute.org), which is a low enough frequency to award PM2_Supporting based on the thresholds defined by the ClinGen Hearing Loss Expert Panel for autosomal recessive hearing loss (PM2_P). This variant has been detected in 1 patient with hearing loss in trans with pathogenic or suspected-pathogenic variants (PM3; Partners LMM internal data SCV000731600.1). Computational prediction tools and conservation analysis suggest that the p.Arg606His variant may impact the protein (PP3). One patient with a variant in this gene displayed features of sensorineural hearing loss and delayed walking (PP4; Partners LMM internal data SCV000731600.1). In summary, the clinical significance of this variant is uncertain. ACMG/AMP criteria applied, as specified by the Hearing Loss Expert Panel: PM2_P, PM3, PP3, PP4.</t>
  </si>
  <si>
    <t>SCV000840541.1</t>
  </si>
  <si>
    <t>The p.Pro225Leu variant in GJB2 is absent from the Genome Aggregation Database (http://gnomad.broadinstitute.org) (PM2). This variant has been detected in 1 patient with hearing loss in trans with pathogenic or suspected-pathogenic variants (PM3; PMID:21112098). In summary, this variant meets criteria to be classified as a variant of uncertain clinical significance for autosomal recessive nonsyndromic hearing loss based on the ACMG/AMP criteria applied, as specified by the Hearing Loss Expert Panel: PM2, PM3.</t>
  </si>
  <si>
    <t>SCV000840543.1</t>
  </si>
  <si>
    <t>The c.677T&gt;A (p.Val226Asp) variant in GJB2 has been identified in a heterozygous state in one Mongolian individual with sensorineural hearing loss (PS4 not met; PMID: 20201936). This variant was absent from the Genome Aggregation Database (http://gnomad.broadinstitute.org) (PM2). In summary, the clinical significance of this variant is uncertain. ACMG/AMP criteria applied, as specified by the Hearing Loss Expert Panel: PM2.</t>
  </si>
  <si>
    <t>SCV000840506.1</t>
  </si>
  <si>
    <t>The p.Cys218Tyr variant in GJB2 was identified in 0.002% (2/109924) of European chromosomes by the Genome Aggregation Database (http://gnomad.broadinstitute.org), which is a low enough frequency to award PM2 based on the thresholds defined by the ClinGen Hearing Loss Expert Panel for autosomal recessive hearing loss (PM2). Computational prediction tools and conservation analysis suggest that the p.Cys218Tyr variant may impact the protein (PP3). In summary, the clinical significance of this variant is uncertain. ACMG/AMP criteria applied: PM2, PP3.</t>
  </si>
  <si>
    <t>SCV000840532.1</t>
  </si>
  <si>
    <t>PAH-specific ACMG/AMP criteria applied: BS1: &gt; PAH specific guidelines of AF-0.0002 (0.02%); BP7: No deleterious effect predicted.. In summary this variant meets criteria to be classified as likely benign for phenylketonuria in an autosomal recessive manner based on the ACMG/AMP criteria applied as specified by the PAH Expert Panel: (BS1, BP7).</t>
  </si>
  <si>
    <t>SCV000852124.1</t>
  </si>
  <si>
    <t>#VariationID</t>
  </si>
  <si>
    <t>ClinicalSignificance</t>
  </si>
  <si>
    <t>DateLastEvaluated</t>
  </si>
  <si>
    <t>Description</t>
  </si>
  <si>
    <t>SubmittedPhenotypeInfo</t>
  </si>
  <si>
    <t>ReportedPhenotypeInfo</t>
  </si>
  <si>
    <t>ReviewStatus</t>
  </si>
  <si>
    <t>CollectionMethod</t>
  </si>
  <si>
    <t>OriginCounts</t>
  </si>
  <si>
    <t>Submitter</t>
  </si>
  <si>
    <t>SCV</t>
  </si>
  <si>
    <t>SubmittedGeneSymbol</t>
  </si>
  <si>
    <t>ExplanationOfInterpretation</t>
  </si>
  <si>
    <t>HL</t>
  </si>
  <si>
    <t>RAS</t>
  </si>
  <si>
    <t>VariationID</t>
  </si>
  <si>
    <t>ClinGen PAH Expert Panel,ClinGen</t>
  </si>
  <si>
    <t>ClinGen Hearing Loss Expert Panel</t>
  </si>
  <si>
    <t>ClinGen RASopathy Expert Panel,</t>
  </si>
  <si>
    <t>PTEN c.469G&gt;T (p.E157X) meets criteria to be classified as pathogenic for PTEN Hamartoma Tumor syndrome in an autosomal dominant manner using modified ACMG criteria (PMID 30311380).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 PS4_P: Proband(s) with phenotype specificity score of 1-1.5. (PMID 8071972)</t>
  </si>
  <si>
    <t>ClinGen PTEN Variant Curation Expert Panel</t>
  </si>
  <si>
    <t>SCV000863471.1</t>
  </si>
  <si>
    <t>PTEN c.510T&gt;A (p.S170R) meets criteria to be classified as likely pathogenic for PTEN Hamartoma Tumor syndrome in an autosomal dominant manner using modified ACMG criteria (PMID 30311380). Please see a summary of the rules and criteria codes in the "PTEN ACMG Specifications Summary" document (assertion method column). PS3: Phosphatase activity &lt;50% of wild type (PMID 17942903, PMID 10866302, PMID 9256433, PMID 21828076) PM2: Absent in large sequenced populations (PMID 27535533). PP1: Co-segregation with disease in multiple affected family members, with 3 or 4 meioses observed. (PMID 17526800, PMID 9241266) PP2: PTEN is defined by the PTEN Expert Panel as a gene that has a low rate of benign missense variation and where missense variants are a common mechanism of disease. PS4_P: Proband(s) with phenotype specificity score of 1-1.5. (PMID 17526800)</t>
  </si>
  <si>
    <t>SCV000863480.1</t>
  </si>
  <si>
    <t>PTEN c.368A&gt;G (p.H123R) PTEN c.368A&gt;G (p.H123R) meets criteria to be classified as likely pathogenic for PTEN Hamartoma Tumor syndrome in an autosomal dominant manner using modified ACMG criteria (PMID 30311380). Please see a summary of the rules and criteria codes in the "PTEN ACMG Specifications Summary" document (assertion method column). PM1: Located at a residue within a catalytic motif as defined by the ClinGen PTEN Expert Panel. PM2: Absent in large sequenced populations. (PMID 27535533) PM6: Assumed de novo, but without confirmation of paternity and maternity in a patient with the disease and no family history. (PMID 10234502) PP2: PTEN is defined by the PTEN Expert Panel as a gene that has a low rate of benign missense variation and where missense variants are a common mechanism of disease.</t>
  </si>
  <si>
    <t>SCV000863477.1</t>
  </si>
  <si>
    <t>PTEN c.586delC (p.H196Tfs) meets criteria to be classified as pathogenic for PTEN Hamartoma Tumor syndrome in an autosomal dominant manner using modified ACMG criteria (PMID 30311380).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 PS4_P: Proband(s) with phenotype specificity score of 1-1.5. (PMID 9832032)</t>
  </si>
  <si>
    <t>SCV000863475.1</t>
  </si>
  <si>
    <t>PTEN c.534_535delTAinsAT (p.Y178X) meets criteria to be classified as pathogenic for PTEN Hamartoma Tumor syndrome in an autosomal dominant manner using modified ACMG criteria (PMID 30311380).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 PS4_P: Proband(s) with phenotype specificity score of 1-1.5. (PMID 9832032, PMID 23335809)</t>
  </si>
  <si>
    <t>SCV000863472.1</t>
  </si>
  <si>
    <t>PTEN c.766G&gt;T (p.E256X) meets criteria to be classified as pathogenic for PTEN Hamartoma Tumor syndrome in an autosomal dominant manner using modified ACMG criteria (PMID 30311380).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 PM6: Assumed de novo, but without confirmation of paternity and maternity in a patient with the disease and no family history. (PMID 9832032) PS4_P: Proband(s) with phenotype specificity score of 1-1.5. (PMID 9832032)</t>
  </si>
  <si>
    <t>SCV000863478.1</t>
  </si>
  <si>
    <t>PTEN c.564T&gt;A (p.Y188X) meets criteria to be classified as likely pathogenic for PTEN Hamartoma Tumor syndrome in an autosomal dominant manner using modified ACMG criteria (PMID 30311380).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t>
  </si>
  <si>
    <t>SCV000863469.1</t>
  </si>
  <si>
    <t>PTEN c.40dupA (p.R14Kfs) meets criteria to be classified as pathogenic for PTEN Hamartoma Tumor syndrome in an autosomal dominant manner using modified ACMG criteria (PMID 30311380). Please see a summary of the rules and criteria codes in the "PTEN ACMG Specifications Summary" document (assertion method column). PVS1: Null variant predicted to result in nonsense-mediated decay or causing truncation/frameshift at or 5' to c.1121 (NM_000314.4). PM2: Absent in large sequenced populations (PMID 27535533). PM6: Assumed de novo, but without confirmation of paternity and maternity in a patient with the disease and no family history. (PMID 10777358) PS4_P: Proband(s) with phenotype specificity score of 1-1.5. (PMID 10777358)</t>
  </si>
  <si>
    <t>SCV000863473.1</t>
  </si>
  <si>
    <t>ClinGen Inherited Cardiomyopathy Expert Panel,</t>
  </si>
  <si>
    <t>PTEN c.395G&gt;A (p.G132D) meets criteria to be classified as likely pathogenic for PTEN Hamartoma Tumor syndrome in an autosomal dominant manner using modified ACMG criteria (PMID 30311380). Please see a summary of the rules and criteria codes in the "PTEN ACMG Specifications Summary" document (assertion method column). PM2: Absent in large sequenced populations (PMID 27535533). PM6: Assumed de novo, but without confirmation of paternity and maternity in a patient with the disease and no family history. (Internal laboratory contributor(s) SCV000279163.8) PS4_M: Probands with phenotype specificity score of 2-3.5. (PMID 25288137, PMID 23335809, PMID 23470840, internal laboratory contributor(s)) PP2: PTEN is defined by the PTEN Expert Panel as a gene that has a low rate of benign missense variation and where missense variants are a common mechanism of disease.</t>
  </si>
  <si>
    <t>SCV000863470.1</t>
  </si>
  <si>
    <t>PTEN c.-1142C&gt;T (NC_000010.10:g.89623084C&gt;T) meets criteria to be classified as likely benign for PTEN Hamartoma Tumor syndrome in an autosomal dominant manner using modified ACMG criteria (PMID 30311380). Please see a summary of the rules and criteria codes in the "PTEN ACMG Specifications Summary" document (assertion method column). BS1: Allele frequency of 0.0049 (0.49%, 8/1622 alleles) in the East Asian subpopulation of the gnomAD cohort. (PMID 27535533) BP2: Observed in trans with a pathogenic or likely pathogenic PTEN variant, at least three observations in cis and/or phase unknown with different pathogenic/likely pathogenic PTEN variants. (Internal laboratory contributors SCV000187279.1, SCV000149465.6)</t>
  </si>
  <si>
    <t>SCV000863474.1</t>
  </si>
  <si>
    <t>PTEN c.-798G&gt;C (NC_000010.10:g.89623428G&gt;C) is currently classified as a variant of uncertain significance for PTEN Hamartoma Tumor syndrome in an autosomal dominant manner using modified ACMG criteria (PMID 30311380). Please see a summary of the rules and criteria codes in the "PTEN ACMG Specifications Summary" document (assertion method column). No criteria currently apply to this variant.</t>
  </si>
  <si>
    <t>SCV000863481.1</t>
  </si>
  <si>
    <t>PTEN c.520T&gt;A (p.Y174N) meets criteria to be classified as likely pathogenic for PTEN Hamartoma Tumor syndrome in an autosomal dominant manner using modified ACMG criteria (PMID 30311380). Please see a summary of the rules and criteria codes in the "PTEN ACMG Specifications Summary" document (assertion method column). PS3: Phosphatase activity &lt;50% of wild type (PMID 10866302) PM2: Absent in large sequenced populations OR present at extremely low (&lt;0.00001, 0.001%) allele frequency in the gnomAD cohort. (PMID 27535533) PP2: PTEN is defined by the PTEN Expert Panel as a gene that has a low rate of benign missense variation and where missense variants are a common mechanism of disease.</t>
  </si>
  <si>
    <t>SCV000863476.1</t>
  </si>
  <si>
    <t>PTEN c.*10delT (NC_000010.10:g.89725239delT) is currently classified as a variant of uncertain significance for PTEN Hamartoma Tumor syndrome in an autosomal dominant manner using modified ACMG criteria (PMID 30311380). Please see a summary of the rules and criteria codes in the "PTEN ACMG Specifications Summary" document (assertion method column). PM2: Absent in large sequenced populations (PMID 27535533).</t>
  </si>
  <si>
    <t>SCV000863479.1</t>
  </si>
  <si>
    <t>SubmitterAbbr</t>
  </si>
  <si>
    <t>CARDIO</t>
  </si>
  <si>
    <t>VariantID</t>
  </si>
  <si>
    <t>AlleleID</t>
  </si>
  <si>
    <t>Your_record_id</t>
  </si>
  <si>
    <t>RCV</t>
  </si>
  <si>
    <t>Your_variant_description</t>
  </si>
  <si>
    <t>Preferred_variant_name</t>
  </si>
  <si>
    <t>Your_condition_name</t>
  </si>
  <si>
    <t>Your_condition_identifier</t>
  </si>
  <si>
    <t>ClinVar_condition_name</t>
  </si>
  <si>
    <t>Assigned_Concept_ID</t>
  </si>
  <si>
    <t>Clinical_significance</t>
  </si>
  <si>
    <t>Date_last_evaluated</t>
  </si>
  <si>
    <t>Assertion_criteria</t>
  </si>
  <si>
    <t>Submission_date</t>
  </si>
  <si>
    <t>Submitted_gene</t>
  </si>
  <si>
    <t>Novelty</t>
  </si>
  <si>
    <t>Status</t>
  </si>
  <si>
    <t>Info</t>
  </si>
  <si>
    <t>Invalid</t>
  </si>
  <si>
    <t>8c50af60-fe53-4c9b-b60a-3735d21c8645</t>
  </si>
  <si>
    <t>RCV000710304.1</t>
  </si>
  <si>
    <t>&lt;SequenceLocation Assembly="GRCh38" Chr="10" alternateAllele="T" referenceAllele="C" start="87863299" stop="87863299" variantLength="1"/&gt;</t>
  </si>
  <si>
    <t>NM_000314.6(PTEN):c.-1170C&gt;T</t>
  </si>
  <si>
    <t>PTEN hamartoma tumor syndrome</t>
  </si>
  <si>
    <t>C1959582</t>
  </si>
  <si>
    <t>PTEN ACMG Specifications Summary v1.0 2018</t>
  </si>
  <si>
    <t>existing allele; new phenotype</t>
  </si>
  <si>
    <t>current</t>
  </si>
  <si>
    <t>eb4d52da-5b73-477e-9890-d8c613ea7ae5</t>
  </si>
  <si>
    <t>RCV000710312.1</t>
  </si>
  <si>
    <t>&lt;SequenceLocation Assembly="GRCh38" Chr="10" alternateAllele="C" referenceAllele="T" start="87863158" stop="87863158" variantLength="1"/&gt;</t>
  </si>
  <si>
    <t>NM_000314.6(PTEN):c.-1311T&gt;C</t>
  </si>
  <si>
    <t>ba4a2bab-161e-445b-a38c-7ef4639e08a9</t>
  </si>
  <si>
    <t>RCV000710313.1</t>
  </si>
  <si>
    <t>&lt;SequenceLocation Assembly="GRCh38" Chr="10" alternateAllele="-" referenceAllele="AGT" start="87965310" stop="87965312" variantLength="3"/&gt;</t>
  </si>
  <si>
    <t>NM_000314.6(PTEN):c.1052_1054delTAG (p.Val351del)</t>
  </si>
  <si>
    <t>new allele</t>
  </si>
  <si>
    <t>9a0535ed-2b90-4309-917f-cbcce2549f2a</t>
  </si>
  <si>
    <t>RCV000710314.1</t>
  </si>
  <si>
    <t>&lt;SequenceLocation Assembly="GRCh38" Chr="10" alternateAllele="A" referenceAllele="G" start="87961119" stop="87961119" variantLength="1"/&gt;</t>
  </si>
  <si>
    <t>NM_000314.6(PTEN):c.1026+1G&gt;A</t>
  </si>
  <si>
    <t>5ae8d67a-b184-476c-878e-aef6ec246a56</t>
  </si>
  <si>
    <t>RCV000204337.4</t>
  </si>
  <si>
    <t>&lt;SequenceLocation Assembly="GRCh38" Chr="10" alternateAllele="T" referenceAllele="C" start="87864547" stop="87864547" variantLength="1"/&gt;</t>
  </si>
  <si>
    <t>NM_000314.6(PTEN):c.78C&gt;T (p.Thr26=)</t>
  </si>
  <si>
    <t>existing allele and phenotype</t>
  </si>
  <si>
    <t>e5e35031-cdfe-44ec-ad5e-0f3892c0a7b1</t>
  </si>
  <si>
    <t>RCV000553143.1</t>
  </si>
  <si>
    <t>&lt;SequenceLocation Assembly="GRCh38" Chr="10" alternateAllele="A" referenceAllele="G" start="87864544" stop="87864544" variantLength="1"/&gt;</t>
  </si>
  <si>
    <t>NM_000314.6(PTEN):c.75G&gt;A (p.Leu25=)</t>
  </si>
  <si>
    <t>bfdfbf81-6f26-43f8-aa4b-bbb17ebaf54a</t>
  </si>
  <si>
    <t>RCV000710298.1</t>
  </si>
  <si>
    <t>&lt;SequenceLocation Assembly="GRCh38" Chr="10" alternateAllele="T" referenceAllele="A" start="87961056" stop="87961056" variantLength="1"/&gt;</t>
  </si>
  <si>
    <t>NM_000314.6(PTEN):c.964A&gt;T (p.Lys322Ter)</t>
  </si>
  <si>
    <t>049d3e03-b5ad-4a47-92e9-ee077179049a</t>
  </si>
  <si>
    <t>RCV000710307.1</t>
  </si>
  <si>
    <t>&lt;SequenceLocation Assembly="GRCh38" Chr="10" alternateAllele="T" referenceAllele="A" start="87925560" stop="87925560" variantLength="1"/&gt;</t>
  </si>
  <si>
    <t>NM_000314.6(PTEN):c.209+3A&gt;T</t>
  </si>
  <si>
    <t>8c8c1292-baf8-4fcd-abbf-e22a7793a5dd</t>
  </si>
  <si>
    <t>RCV000710306.1</t>
  </si>
  <si>
    <t>&lt;SequenceLocation Assembly="GRCh38" Chr="10" alternateAllele="A" referenceAllele="G" start="87925512" stop="87925512" variantLength="1"/&gt;</t>
  </si>
  <si>
    <t>NM_000314.6(PTEN):c.165-1G&gt;A</t>
  </si>
  <si>
    <t>f890d81d-90ed-4411-a0fd-a89669dd616a</t>
  </si>
  <si>
    <t>RCV000645029.1</t>
  </si>
  <si>
    <t>&lt;SequenceLocation Assembly="GRCh38" Chr="10" alternateAllele="T" referenceAllele="C" start="87960984" stop="87960984" variantLength="1"/&gt;</t>
  </si>
  <si>
    <t>NM_000314.6(PTEN):c.892C&gt;T (p.Gln298Ter)</t>
  </si>
  <si>
    <t>2353f24f-8466-46ea-838d-a36a749f6a49</t>
  </si>
  <si>
    <t>RCV000538790.2</t>
  </si>
  <si>
    <t>&lt;SequenceLocation Assembly="GRCh38" Chr="10" alternateAllele="T" referenceAllele="C" start="87965431" stop="87965431" variantLength="1"/&gt;</t>
  </si>
  <si>
    <t>NM_000314.6(PTEN):c.1171C&gt;T (p.Pro391Ser)</t>
  </si>
  <si>
    <t>11de4e4a-dc77-4323-92c5-151d4868419d</t>
  </si>
  <si>
    <t>RCV000552515.2</t>
  </si>
  <si>
    <t>&lt;SequenceLocation Assembly="GRCh38" Chr="10" alternateAllele="A" referenceAllele="G" start="87933166" stop="87933166" variantLength="1"/&gt;</t>
  </si>
  <si>
    <t>NM_000314.6(PTEN):c.407G&gt;A (p.Cys136Tyr)</t>
  </si>
  <si>
    <t>276b536d-e9cf-488e-a7bf-d2d8d0b119b6</t>
  </si>
  <si>
    <t>RCV000233297.1</t>
  </si>
  <si>
    <t>&lt;SequenceLocation Assembly="GRCh38" Chr="10" alternateAllele="T" referenceAllele="C" start="87952136" stop="87952136" variantLength="1"/&gt;</t>
  </si>
  <si>
    <t>NM_000314.6(PTEN):c.511C&gt;T (p.Gln171Ter)</t>
  </si>
  <si>
    <t>a81bf7b8-305b-4704-bf65-95e6aa54b5ba</t>
  </si>
  <si>
    <t>RCV000710297.1</t>
  </si>
  <si>
    <t>&lt;SequenceLocation Assembly="GRCh38" Chr="10" alternateAllele="-" referenceAllele="TTTG" start="87925489" stop="87925492" variantLength="4"/&gt;</t>
  </si>
  <si>
    <t>NM_000314.6(PTEN):c.165-13_165-10delGTTT</t>
  </si>
  <si>
    <t>53c09c9e-b77c-4949-8aef-58bcb3346e87</t>
  </si>
  <si>
    <t>RCV000225789.3</t>
  </si>
  <si>
    <t>&lt;SequenceLocation Assembly="GRCh38" Chr="10" alternateAllele="C" referenceAllele="A" start="87933119" stop="87933119" variantLength="1"/&gt;</t>
  </si>
  <si>
    <t>NM_000314.6(PTEN):c.360A&gt;C (p.Ala120=)</t>
  </si>
  <si>
    <t>e41ad782-4c9c-4ae6-ba02-ec2e11c967fc</t>
  </si>
  <si>
    <t>RCV000710299.1</t>
  </si>
  <si>
    <t>&lt;SequenceLocation Assembly="GRCh38" Chr="10" alternateAllele="-" referenceAllele="AAAT" start="87961076" stop="87961079" variantLength="4"/&gt;</t>
  </si>
  <si>
    <t>NM_000314.6(PTEN):c.987_990delTAAA (p.Asn329Lysfs)</t>
  </si>
  <si>
    <t>2f607d68-ce7c-4110-9640-98a0992a2d02</t>
  </si>
  <si>
    <t>RCV000710308.1</t>
  </si>
  <si>
    <t>&lt;SequenceLocation Assembly="GRCh38" Chr="10" alternateAllele="C" referenceAllele="G" start="87894024" stop="87894024" variantLength="1"/&gt;</t>
  </si>
  <si>
    <t>NM_000314.6(PTEN):c.80-1G&gt;C</t>
  </si>
  <si>
    <t>8f2c1cdc-0442-4dc1-ace0-ee811465348e</t>
  </si>
  <si>
    <t>RCV000490574.4</t>
  </si>
  <si>
    <t>&lt;SequenceLocation Assembly="GRCh38" Chr="10" alternateAllele="T" referenceAllele="C" start="87952142" stop="87952142" variantLength="1"/&gt;</t>
  </si>
  <si>
    <t>NM_000314.6(PTEN):c.517C&gt;T (p.Arg173Cys)</t>
  </si>
  <si>
    <t>271c91d3-d627-42bf-86bc-ba9a7f7f2189</t>
  </si>
  <si>
    <t>RCV000710302.1</t>
  </si>
  <si>
    <t>&lt;SequenceLocation Assembly="GRCh38" Chr="10" alternateAllele="G" referenceAllele="C" start="87863410" stop="87863410" variantLength="1"/&gt;</t>
  </si>
  <si>
    <t>NM_000314.6(PTEN):c.-1059C&gt;G</t>
  </si>
  <si>
    <t>4f6345e3-25b1-48cd-9697-1a5624715071</t>
  </si>
  <si>
    <t>RCV000548863.1</t>
  </si>
  <si>
    <t>&lt;SequenceLocation Assembly="GRCh38" Chr="10" alternateAllele="G" referenceAllele="A" start="87894048" stop="87894048" variantLength="1"/&gt;</t>
  </si>
  <si>
    <t>NM_000314.6(PTEN):c.103A&gt;G (p.Met35Val)</t>
  </si>
  <si>
    <t>747804f8-133a-4807-9f7e-4c8798e82ee5</t>
  </si>
  <si>
    <t>RCV000710310.1</t>
  </si>
  <si>
    <t>&lt;SequenceLocation Assembly="GRCh38" Chr="10" alternateAllele="G" referenceAllele="A" start="87864487" stop="87864487" variantLength="1"/&gt;</t>
  </si>
  <si>
    <t>NM_000314.6(PTEN):c.18A&gt;G (p.Lys6=)</t>
  </si>
  <si>
    <t>d8470abc-cd84-4dd7-aa9d-def2c9c878aa</t>
  </si>
  <si>
    <t>RCV000461085.2</t>
  </si>
  <si>
    <t>&lt;SequenceLocation Assembly="GRCh38" Chr="10" alternateAllele="-" referenceAllele="G" start="87958019" stop="87958019" variantLength="1"/&gt;</t>
  </si>
  <si>
    <t>NM_000314.6(PTEN):c.801+1delG</t>
  </si>
  <si>
    <t>9b8faad8-e78a-4d2f-8805-210367466752</t>
  </si>
  <si>
    <t>RCV000462758.2</t>
  </si>
  <si>
    <t>&lt;SequenceLocation Assembly="GRCh38" Chr="10" alternateAllele="A" referenceAllele="G" start="87864513" stop="87864513" variantLength="1"/&gt;</t>
  </si>
  <si>
    <t>NM_000314.6(PTEN):c.44G&gt;A (p.Arg15Lys)</t>
  </si>
  <si>
    <t>0340272b-ab4c-4672-94b8-40e0525d8eda</t>
  </si>
  <si>
    <t>RCV000123046.7</t>
  </si>
  <si>
    <t>&lt;SequenceLocation Assembly="GRCh38" Chr="10" alternateAllele="A" referenceAllele="G" start="87931071" stop="87931071" variantLength="1"/&gt;</t>
  </si>
  <si>
    <t>NM_000314.6(PTEN):c.235G&gt;A (p.Ala79Thr)</t>
  </si>
  <si>
    <t>844aa93c-ba66-4b09-825a-8e5e0fb0a775</t>
  </si>
  <si>
    <t>RCV000178761.3</t>
  </si>
  <si>
    <t>&lt;SequenceLocation Assembly="GRCh38" Chr="10" alternateAllele="A" referenceAllele="G" start="87933148" stop="87933148" variantLength="1"/&gt;</t>
  </si>
  <si>
    <t>NM_000314.6(PTEN):c.389G&gt;A (p.Arg130Gln)</t>
  </si>
  <si>
    <t>1c091a56-7fdb-41a4-9573-e48254ef08b7</t>
  </si>
  <si>
    <t>RCV000230941.1</t>
  </si>
  <si>
    <t>&lt;SequenceLocation Assembly="GRCh38" Chr="10" alternateAllele="A" referenceAllele="G" start="87863705" stop="87863705" variantLength="1"/&gt;</t>
  </si>
  <si>
    <t>NM_000314.6(PTEN):c.-764G&gt;A</t>
  </si>
  <si>
    <t>044a4a6a-4939-4e73-8b9d-ff941b58e27d</t>
  </si>
  <si>
    <t>RCV000232250.4</t>
  </si>
  <si>
    <t>&lt;SequenceLocation Assembly="GRCh38" Chr="10" alternateAllele="C" referenceAllele="T" start="87965364" stop="87965364" variantLength="1"/&gt;</t>
  </si>
  <si>
    <t>NM_000314.6(PTEN):c.1104T&gt;C (p.Asp368=)</t>
  </si>
  <si>
    <t>b70739f7-4e4b-4678-8c1b-43aa0547db91</t>
  </si>
  <si>
    <t>RCV000710301.1</t>
  </si>
  <si>
    <t>&lt;SequenceLocation Assembly="GRCh38" Chr="10" alternateAllele="A" referenceAllele="C" start="87863443" stop="87863443" variantLength="1"/&gt;</t>
  </si>
  <si>
    <t>NM_000314.6(PTEN):c.-1026C&gt;A</t>
  </si>
  <si>
    <t>b7b13ffa-c41f-4c0e-9db4-dd26cede580d</t>
  </si>
  <si>
    <t>RCV000710303.1</t>
  </si>
  <si>
    <t>&lt;SequenceLocation Assembly="GRCh38" Chr="10" alternateAllele="A" referenceAllele="G" start="87863566" stop="87863566" variantLength="1"/&gt;</t>
  </si>
  <si>
    <t>NM_000314.6(PTEN):c.-903G&gt;A</t>
  </si>
  <si>
    <t>e71dcbfe-0aed-4400-9ea2-5ec0ef78a666</t>
  </si>
  <si>
    <t>RCV000710293.1</t>
  </si>
  <si>
    <t>&lt;SequenceLocation Assembly="GRCh38" Chr="10" alternateAllele="G" referenceAllele="A" start="87952116" stop="87952116" variantLength="1"/&gt;</t>
  </si>
  <si>
    <t>NM_000314.6(PTEN):c.493-2A&gt;G</t>
  </si>
  <si>
    <t>2b40684d-92f4-40ce-8062-ffd5a0278fbd</t>
  </si>
  <si>
    <t>RCV000699087.1</t>
  </si>
  <si>
    <t>&lt;SequenceLocation Assembly="GRCh38" Chr="10" alternateAllele="-" referenceAllele="AA" start="87864519" stop="87864520" variantLength="2"/&gt;</t>
  </si>
  <si>
    <t>NM_000314.6(PTEN):c.50_51delAA (p.Gln17Argfs)</t>
  </si>
  <si>
    <t>835a14e6-4a41-47df-a1ff-271c872adf39</t>
  </si>
  <si>
    <t>RCV000613031.1</t>
  </si>
  <si>
    <t>&lt;SequenceLocation Assembly="GRCh38" Chr="10" alternateAllele="T" referenceAllele="C" start="87957955" stop="87957955" variantLength="1"/&gt;</t>
  </si>
  <si>
    <t>NM_000314.6(PTEN):c.737C&gt;T (p.Pro246Leu)</t>
  </si>
  <si>
    <t>0b5afc39-258a-4c7d-8a60-f765e5c2eaf2</t>
  </si>
  <si>
    <t>RCV000710295.1</t>
  </si>
  <si>
    <t>&lt;SequenceLocation Assembly="GRCh38" Chr="10" alternateAllele="T" referenceAllele="A" start="87960892" stop="87960892" variantLength="1"/&gt;</t>
  </si>
  <si>
    <t>NM_000314.6(PTEN):c.802-2A&gt;T</t>
  </si>
  <si>
    <t>742e08c9-7bda-4006-95f1-22f34ec0d9e1</t>
  </si>
  <si>
    <t>RCV000710296.1</t>
  </si>
  <si>
    <t>&lt;SequenceLocation Assembly="GRCh38" Chr="10" alternateAllele="AAA" referenceAllele="-" start="87933062" stop="87933063" variantLength="2"/&gt;</t>
  </si>
  <si>
    <t>NM_000314.6(PTEN):c.304_306dupAAA (p.Lys102_Pro103insLys)</t>
  </si>
  <si>
    <t>3905138e-990e-4b30-b0aa-96ad556248ac</t>
  </si>
  <si>
    <t>RCV000204849.1</t>
  </si>
  <si>
    <t>&lt;SequenceLocation Assembly="GRCh38" Chr="10" alternateAllele="G" referenceAllele="A" start="87952146" stop="87952146" variantLength="1"/&gt;</t>
  </si>
  <si>
    <t>NM_000314.6(PTEN):c.521A&gt;G (p.Tyr174Cys)</t>
  </si>
  <si>
    <t>d1c7275d-fc3f-4feb-b749-4a6562cbc2d9</t>
  </si>
  <si>
    <t>RCV000203697.3</t>
  </si>
  <si>
    <t>&lt;SequenceLocation Assembly="GRCh38" Chr="10" alternateAllele="G" referenceAllele="C" start="87864461" stop="87864461" variantLength="1"/&gt;</t>
  </si>
  <si>
    <t>NM_000314.6(PTEN):c.-9C&gt;G</t>
  </si>
  <si>
    <t>30a41c35-daf4-47cc-b83c-ccf0c557f631</t>
  </si>
  <si>
    <t>RCV000710294.1</t>
  </si>
  <si>
    <t>&lt;SequenceLocation Assembly="GRCh38" Chr="10" alternateAllele="G" referenceAllele="T" start="87961150" stop="87961150" variantLength="1"/&gt;</t>
  </si>
  <si>
    <t>NM_000314.6(PTEN):c.1026+32T&gt;G</t>
  </si>
  <si>
    <t>4fa0530f-2999-441d-b303-9451e343e97b</t>
  </si>
  <si>
    <t>RCV000123045.6</t>
  </si>
  <si>
    <t>&lt;SequenceLocation Assembly="GRCh38" Chr="10" alternateAllele="T" referenceAllele="C" start="87894077" stop="87894077" variantLength="1"/&gt;</t>
  </si>
  <si>
    <t>NM_000314.6(PTEN):c.132C&gt;T (p.Gly44=)</t>
  </si>
  <si>
    <t>9b41938e-76e1-469c-a782-0fabdaceb60c</t>
  </si>
  <si>
    <t>RCV000645064.1</t>
  </si>
  <si>
    <t>&lt;SequenceLocation Assembly="GRCh38" Chr="10" alternateAllele="-" referenceAllele="GTAA" start="87925558" stop="87925561" variantLength="4"/&gt;</t>
  </si>
  <si>
    <t>NM_000314.6(PTEN):c.209+4_209+7delAGTA</t>
  </si>
  <si>
    <t>e0072965-9b20-4fa8-bfab-2ec93223849b</t>
  </si>
  <si>
    <t>RCV000710300.1</t>
  </si>
  <si>
    <t>&lt;SequenceLocation Assembly="GRCh38" Chr="10" alternateAllele="T" referenceAllele="G" start="87932974" stop="87932974" variantLength="1"/&gt;</t>
  </si>
  <si>
    <t>NM_000314.6(PTEN):c.254-39G&gt;T</t>
  </si>
  <si>
    <t>e8d81f24-56b8-4bfb-82c1-e3c4bb305db9</t>
  </si>
  <si>
    <t>RCV000710315.1</t>
  </si>
  <si>
    <t>&lt;SequenceLocation Assembly="GRCh38" Chr="10" alternateAllele="T" referenceAllele="C" start="87864583" stop="87864583" variantLength="1"/&gt;</t>
  </si>
  <si>
    <t>NM_000314.6(PTEN):c.79+35C&gt;T</t>
  </si>
  <si>
    <t>742d7bc7-fc1a-47ac-b7fb-3be400cfe09f</t>
  </si>
  <si>
    <t>RCV000710311.1</t>
  </si>
  <si>
    <t>&lt;SequenceLocation Assembly="GRCh38" Chr="10" alternateAllele="A" referenceAllele="G" start="87958042" stop="87958042" variantLength="1"/&gt;</t>
  </si>
  <si>
    <t>NM_000314.6(PTEN):c.801+23G&gt;A</t>
  </si>
  <si>
    <t>3026a8af-72dd-459e-be90-922c578fc8f6</t>
  </si>
  <si>
    <t>RCV000735258.1</t>
  </si>
  <si>
    <t>NM_000314.6:c.564T&gt;A</t>
  </si>
  <si>
    <t>NM_000314.6(PTEN):c.564T&gt;A (p.Tyr188Ter)</t>
  </si>
  <si>
    <t>Warning: Your HGVS expression is based on a previous version of the reference sequence.</t>
  </si>
  <si>
    <t>9c15b246-ef9f-4f55-a246-126b49710717</t>
  </si>
  <si>
    <t>RCV000544638.1</t>
  </si>
  <si>
    <t>NM_000314.6:c.395G&gt;A</t>
  </si>
  <si>
    <t>NM_000314.7(PTEN):c.395G&gt;A (p.Gly132Asp)</t>
  </si>
  <si>
    <t>c8a8caba-2251-491c-8758-14da15b51065</t>
  </si>
  <si>
    <t>RCV000735259.1</t>
  </si>
  <si>
    <t>NM_000314.6:c.469G&gt;T</t>
  </si>
  <si>
    <t>NM_000314.7(PTEN):c.469G&gt;T (p.Glu157Ter)</t>
  </si>
  <si>
    <t>ebef4811-dc36-4625-bd07-ea516d1cad7e</t>
  </si>
  <si>
    <t>RCV000735260.1</t>
  </si>
  <si>
    <t>NM_000314.6:c.534_535delTAinsAT</t>
  </si>
  <si>
    <t>NM_000314.7(PTEN):c.534_535delTAinsAT (p.Tyr178Ter)</t>
  </si>
  <si>
    <t>d7cc25c0-43b3-408c-8e19-6aab8d40a4f1</t>
  </si>
  <si>
    <t>RCV000735261.1</t>
  </si>
  <si>
    <t>NM_000314.6:c.40dupA</t>
  </si>
  <si>
    <t>NM_000314.6(PTEN):c.40dup (p.Arg14Lysfs)</t>
  </si>
  <si>
    <t>b49fa554-1a60-419c-8931-6cdc5564285c</t>
  </si>
  <si>
    <t>RCV000233564.1</t>
  </si>
  <si>
    <t>&lt;SequenceLocation Assembly="GRCh38" Chr="10" alternateAllele="T" referenceAllele="C" start="87863327" stop="87863327" variantLength="1"/&gt;</t>
  </si>
  <si>
    <t>NM_000314.7(PTEN):c.-1142C&gt;T</t>
  </si>
  <si>
    <t>47291ab6-b17d-4e14-9acd-faae6fe9ec1e</t>
  </si>
  <si>
    <t>RCV000735262.1</t>
  </si>
  <si>
    <t>NM_000314.6:c.586delC</t>
  </si>
  <si>
    <t>NM_000314.6(PTEN):c.586delC (p.His196Thrfs)</t>
  </si>
  <si>
    <t>58b7be5a-c98e-4344-9f4f-cff2dd70911d</t>
  </si>
  <si>
    <t>RCV000735263.1</t>
  </si>
  <si>
    <t>NM_000314.6:c.520T&gt;A</t>
  </si>
  <si>
    <t>NM_000314.7(PTEN):c.520T&gt;A (p.Tyr174Asn)</t>
  </si>
  <si>
    <t>4ed5aa0a-d183-4c08-b6f6-23ffb9904a78</t>
  </si>
  <si>
    <t>RCV000735264.1</t>
  </si>
  <si>
    <t>NM_000314.6:c.368A&gt;G</t>
  </si>
  <si>
    <t>NM_000314.7(PTEN):c.368A&gt;G (p.His123Arg)</t>
  </si>
  <si>
    <t>4284ff17-816f-4321-a0b3-e3baeb0afc95</t>
  </si>
  <si>
    <t>RCV000735265.1</t>
  </si>
  <si>
    <t>NM_000314.6:c.766G&gt;T</t>
  </si>
  <si>
    <t>NM_000314.7(PTEN):c.766G&gt;T (p.Glu256Ter)</t>
  </si>
  <si>
    <t>e5c0aa16-de66-441e-9ef7-cda008c2cef7</t>
  </si>
  <si>
    <t>RCV000735266.1</t>
  </si>
  <si>
    <t>&lt;SequenceLocation Assembly="GRCh38" Chr="10" alternateAllele="-" referenceAllele="T" start="87965482" stop="87965482" variantLength="1"/&gt;</t>
  </si>
  <si>
    <t>NM_000314.6(PTEN):c.*10delT</t>
  </si>
  <si>
    <t>67ade3e6-3038-4022-903b-9caf929577ba</t>
  </si>
  <si>
    <t>RCV000735267.1</t>
  </si>
  <si>
    <t>NM_000314.6:c.510T&gt;A</t>
  </si>
  <si>
    <t>NM_000314.7(PTEN):c.510T&gt;A (p.Ser170Arg)</t>
  </si>
  <si>
    <t>400140b3-b081-46b3-8b10-03492bb903d0</t>
  </si>
  <si>
    <t>RCV000232535.1</t>
  </si>
  <si>
    <t>&lt;SequenceLocation Assembly="GRCh38" Chr="10" alternateAllele="C" referenceAllele="G" start="87863671" stop="87863671" variantLength="1"/&gt;</t>
  </si>
  <si>
    <t>NM_000314.7(PTEN):c.-798G&gt;C</t>
  </si>
  <si>
    <t>LocalID</t>
  </si>
  <si>
    <t>&lt;append new vcep clinvar reports here&gt;</t>
  </si>
  <si>
    <t>Lookup</t>
  </si>
  <si>
    <t>PAH576</t>
  </si>
  <si>
    <t/>
  </si>
  <si>
    <t>PAH577</t>
  </si>
  <si>
    <t>PAH581</t>
  </si>
  <si>
    <t>PAH582</t>
  </si>
  <si>
    <t>PAH584</t>
  </si>
  <si>
    <t>PAH586</t>
  </si>
  <si>
    <t>PAH587</t>
  </si>
  <si>
    <t>PAH588</t>
  </si>
  <si>
    <t>PAH589</t>
  </si>
  <si>
    <t>PAH592</t>
  </si>
  <si>
    <t>PAH593</t>
  </si>
  <si>
    <t>PAH594</t>
  </si>
  <si>
    <t>PAH595</t>
  </si>
  <si>
    <t>PAH596</t>
  </si>
  <si>
    <t>PAH598</t>
  </si>
  <si>
    <t>PAH599</t>
  </si>
  <si>
    <t>PAH601</t>
  </si>
  <si>
    <t>PAH603</t>
  </si>
  <si>
    <t>PAH607</t>
  </si>
  <si>
    <t>PAH610</t>
  </si>
  <si>
    <t>PAH612</t>
  </si>
  <si>
    <t>PAH617</t>
  </si>
  <si>
    <t>PAH618</t>
  </si>
  <si>
    <t>PAH619</t>
  </si>
  <si>
    <t>PAH625</t>
  </si>
  <si>
    <t>PAH628</t>
  </si>
  <si>
    <t>PAH632</t>
  </si>
  <si>
    <t>PAH636</t>
  </si>
  <si>
    <t>PAH92729</t>
  </si>
  <si>
    <t>PAH92731</t>
  </si>
  <si>
    <t>PAH92732</t>
  </si>
  <si>
    <t>PAH92736</t>
  </si>
  <si>
    <t>PAH92737</t>
  </si>
  <si>
    <t>PAH92740</t>
  </si>
  <si>
    <t>PAH92741</t>
  </si>
  <si>
    <t>PAH92742</t>
  </si>
  <si>
    <t>PAH92743</t>
  </si>
  <si>
    <t>PAH92744</t>
  </si>
  <si>
    <t>PAH92746</t>
  </si>
  <si>
    <t>PAH92747</t>
  </si>
  <si>
    <t>PAH92748</t>
  </si>
  <si>
    <t>PAH92749</t>
  </si>
  <si>
    <t>PAH92751</t>
  </si>
  <si>
    <t>PAH92752</t>
  </si>
  <si>
    <t>PAH92753</t>
  </si>
  <si>
    <t>PAH92755</t>
  </si>
  <si>
    <t>PAH102475</t>
  </si>
  <si>
    <t>PAH102483</t>
  </si>
  <si>
    <t>PAH102498</t>
  </si>
  <si>
    <t>PAH102518</t>
  </si>
  <si>
    <t>PAH102557</t>
  </si>
  <si>
    <t>PAH102577</t>
  </si>
  <si>
    <t>PAH102601</t>
  </si>
  <si>
    <t>PAH102632</t>
  </si>
  <si>
    <t>PAH102650</t>
  </si>
  <si>
    <t>PAH102687</t>
  </si>
  <si>
    <t>PAH102693</t>
  </si>
  <si>
    <t>PAH102696</t>
  </si>
  <si>
    <t>PAH102698</t>
  </si>
  <si>
    <t>PAH102703</t>
  </si>
  <si>
    <t>PAH102705</t>
  </si>
  <si>
    <t>PAH102706</t>
  </si>
  <si>
    <t>PAH102716</t>
  </si>
  <si>
    <t>PAH102720</t>
  </si>
  <si>
    <t>PAH102723</t>
  </si>
  <si>
    <t>PAH102729</t>
  </si>
  <si>
    <t>PAH102736</t>
  </si>
  <si>
    <t>PAH102742</t>
  </si>
  <si>
    <t>PAH102784</t>
  </si>
  <si>
    <t>PAH102795</t>
  </si>
  <si>
    <t>PAH102803</t>
  </si>
  <si>
    <t>PAH102804</t>
  </si>
  <si>
    <t>PAH102821</t>
  </si>
  <si>
    <t>PAH102824</t>
  </si>
  <si>
    <t>PAH102844</t>
  </si>
  <si>
    <t>PAH102851</t>
  </si>
  <si>
    <t>PAH102871</t>
  </si>
  <si>
    <t>PAH102911</t>
  </si>
  <si>
    <t>PAH102913</t>
  </si>
  <si>
    <t>PAH120271</t>
  </si>
  <si>
    <t>PAH120273</t>
  </si>
  <si>
    <t>PAH120287</t>
  </si>
  <si>
    <t>PAH225135</t>
  </si>
  <si>
    <t>PAH281073</t>
  </si>
  <si>
    <t>PAH306914</t>
  </si>
  <si>
    <t>PAH376937</t>
  </si>
  <si>
    <t>PAH439228</t>
  </si>
  <si>
    <t>PAH590340</t>
  </si>
  <si>
    <t>HL2353</t>
  </si>
  <si>
    <t>HL4835</t>
  </si>
  <si>
    <t>HL4840</t>
  </si>
  <si>
    <t>HL6241</t>
  </si>
  <si>
    <t>HL6611</t>
  </si>
  <si>
    <t>HL6613</t>
  </si>
  <si>
    <t>HL17002</t>
  </si>
  <si>
    <t>HL17004</t>
  </si>
  <si>
    <t>HL17010</t>
  </si>
  <si>
    <t>HL17014</t>
  </si>
  <si>
    <t>HL43134</t>
  </si>
  <si>
    <t>HL43201</t>
  </si>
  <si>
    <t>HL43207</t>
  </si>
  <si>
    <t>HL43498</t>
  </si>
  <si>
    <t>HL43507</t>
  </si>
  <si>
    <t>HL43546</t>
  </si>
  <si>
    <t>HL43555</t>
  </si>
  <si>
    <t>HL43560</t>
  </si>
  <si>
    <t>HL43565</t>
  </si>
  <si>
    <t>HL44740</t>
  </si>
  <si>
    <t>HL45163</t>
  </si>
  <si>
    <t>HL45314</t>
  </si>
  <si>
    <t>HL48347</t>
  </si>
  <si>
    <t>HL48459</t>
  </si>
  <si>
    <t>HL48468</t>
  </si>
  <si>
    <t>HL48535</t>
  </si>
  <si>
    <t>HL48604</t>
  </si>
  <si>
    <t>HL164639</t>
  </si>
  <si>
    <t>HL166499</t>
  </si>
  <si>
    <t>HL166504</t>
  </si>
  <si>
    <t>HL177859</t>
  </si>
  <si>
    <t>HL178532</t>
  </si>
  <si>
    <t>HL178638</t>
  </si>
  <si>
    <t>HL178957</t>
  </si>
  <si>
    <t>HL179542</t>
  </si>
  <si>
    <t>HL189148</t>
  </si>
  <si>
    <t>HL197510</t>
  </si>
  <si>
    <t>HL198366</t>
  </si>
  <si>
    <t>HL227469</t>
  </si>
  <si>
    <t>HL228491</t>
  </si>
  <si>
    <t>HL282144</t>
  </si>
  <si>
    <t>HL375406</t>
  </si>
  <si>
    <t>HL447450</t>
  </si>
  <si>
    <t>HL505302</t>
  </si>
  <si>
    <t>HL506273</t>
  </si>
  <si>
    <t>HL517357</t>
  </si>
  <si>
    <t>HL555720</t>
  </si>
  <si>
    <t>HL585322</t>
  </si>
  <si>
    <t>HL585327</t>
  </si>
  <si>
    <t>RAS6821</t>
  </si>
  <si>
    <t>RAS8272</t>
  </si>
  <si>
    <t>RAS8273</t>
  </si>
  <si>
    <t>RAS8274</t>
  </si>
  <si>
    <t>RAS8275</t>
  </si>
  <si>
    <t>RAS12586</t>
  </si>
  <si>
    <t>RAS12587</t>
  </si>
  <si>
    <t>RAS12588</t>
  </si>
  <si>
    <t>RAS12589</t>
  </si>
  <si>
    <t>RAS12594</t>
  </si>
  <si>
    <t>RAS12602</t>
  </si>
  <si>
    <t>RAS12605</t>
  </si>
  <si>
    <t>RAS12606</t>
  </si>
  <si>
    <t>RAS12610</t>
  </si>
  <si>
    <t>RAS12871</t>
  </si>
  <si>
    <t>RAS13326</t>
  </si>
  <si>
    <t>RAS13331</t>
  </si>
  <si>
    <t>RAS13333</t>
  </si>
  <si>
    <t>RAS13344</t>
  </si>
  <si>
    <t>RAS13350</t>
  </si>
  <si>
    <t>RAS13351</t>
  </si>
  <si>
    <t>RAS13957</t>
  </si>
  <si>
    <t>RAS13958</t>
  </si>
  <si>
    <t>RAS13960</t>
  </si>
  <si>
    <t>RAS13965</t>
  </si>
  <si>
    <t>RAS13973</t>
  </si>
  <si>
    <t>RAS13974</t>
  </si>
  <si>
    <t>RAS13979</t>
  </si>
  <si>
    <t>RAS21342</t>
  </si>
  <si>
    <t>RAS36708</t>
  </si>
  <si>
    <t>RAS36709</t>
  </si>
  <si>
    <t>RAS40333</t>
  </si>
  <si>
    <t>RAS40335</t>
  </si>
  <si>
    <t>RAS40346</t>
  </si>
  <si>
    <t>RAS40360</t>
  </si>
  <si>
    <t>RAS40362</t>
  </si>
  <si>
    <t>RAS40363</t>
  </si>
  <si>
    <t>RAS40380</t>
  </si>
  <si>
    <t>RAS40387</t>
  </si>
  <si>
    <t>RAS40391</t>
  </si>
  <si>
    <t>RAS40399</t>
  </si>
  <si>
    <t>RAS40431</t>
  </si>
  <si>
    <t>RAS40435</t>
  </si>
  <si>
    <t>RAS40437</t>
  </si>
  <si>
    <t>RAS40439</t>
  </si>
  <si>
    <t>RAS40440</t>
  </si>
  <si>
    <t>RAS40441</t>
  </si>
  <si>
    <t>RAS40442</t>
  </si>
  <si>
    <t>RAS40446</t>
  </si>
  <si>
    <t>RAS40448</t>
  </si>
  <si>
    <t>RAS40452</t>
  </si>
  <si>
    <t>RAS40454</t>
  </si>
  <si>
    <t>RAS40484</t>
  </si>
  <si>
    <t>RAS40504</t>
  </si>
  <si>
    <t>RAS40511</t>
  </si>
  <si>
    <t>RAS40513</t>
  </si>
  <si>
    <t>RAS40516</t>
  </si>
  <si>
    <t>RAS40520</t>
  </si>
  <si>
    <t>RAS40522</t>
  </si>
  <si>
    <t>RAS40530</t>
  </si>
  <si>
    <t>RAS40536</t>
  </si>
  <si>
    <t>RAS40541</t>
  </si>
  <si>
    <t>RAS40562</t>
  </si>
  <si>
    <t>RAS40567</t>
  </si>
  <si>
    <t>RAS40570</t>
  </si>
  <si>
    <t>RAS40583</t>
  </si>
  <si>
    <t>RAS40585</t>
  </si>
  <si>
    <t>RAS40588</t>
  </si>
  <si>
    <t>RAS40599</t>
  </si>
  <si>
    <t>RAS40600</t>
  </si>
  <si>
    <t>RAS40601</t>
  </si>
  <si>
    <t>RAS40607</t>
  </si>
  <si>
    <t>RAS40609</t>
  </si>
  <si>
    <t>RAS40611</t>
  </si>
  <si>
    <t>RAS40612</t>
  </si>
  <si>
    <t>RAS40613</t>
  </si>
  <si>
    <t>RAS40614</t>
  </si>
  <si>
    <t>RAS40620</t>
  </si>
  <si>
    <t>RAS40621</t>
  </si>
  <si>
    <t>RAS40626</t>
  </si>
  <si>
    <t>RAS40627</t>
  </si>
  <si>
    <t>RAS40628</t>
  </si>
  <si>
    <t>RAS40634</t>
  </si>
  <si>
    <t>RAS40635</t>
  </si>
  <si>
    <t>RAS40640</t>
  </si>
  <si>
    <t>RAS40641</t>
  </si>
  <si>
    <t>RAS40643</t>
  </si>
  <si>
    <t>RAS40649</t>
  </si>
  <si>
    <t>RAS40651</t>
  </si>
  <si>
    <t>RAS40655</t>
  </si>
  <si>
    <t>RAS40660</t>
  </si>
  <si>
    <t>RAS40662</t>
  </si>
  <si>
    <t>RAS40665</t>
  </si>
  <si>
    <t>RAS40678</t>
  </si>
  <si>
    <t>RAS40686</t>
  </si>
  <si>
    <t>RAS40687</t>
  </si>
  <si>
    <t>RAS40692</t>
  </si>
  <si>
    <t>RAS40697</t>
  </si>
  <si>
    <t>RAS40698</t>
  </si>
  <si>
    <t>RAS40702</t>
  </si>
  <si>
    <t>RAS40706</t>
  </si>
  <si>
    <t>RAS40708</t>
  </si>
  <si>
    <t>RAS40713</t>
  </si>
  <si>
    <t>RAS40714</t>
  </si>
  <si>
    <t>RAS40716</t>
  </si>
  <si>
    <t>RAS40747</t>
  </si>
  <si>
    <t>RAS40754</t>
  </si>
  <si>
    <t>RAS40756</t>
  </si>
  <si>
    <t>RAS40758</t>
  </si>
  <si>
    <t>RAS40760</t>
  </si>
  <si>
    <t>RAS40762</t>
  </si>
  <si>
    <t>RAS40770</t>
  </si>
  <si>
    <t>RAS40779</t>
  </si>
  <si>
    <t>RAS40781</t>
  </si>
  <si>
    <t>RAS40786</t>
  </si>
  <si>
    <t>RAS40787</t>
  </si>
  <si>
    <t>RAS40793</t>
  </si>
  <si>
    <t>RAS40802</t>
  </si>
  <si>
    <t>RAS40808</t>
  </si>
  <si>
    <t>RAS40811</t>
  </si>
  <si>
    <t>RAS40813</t>
  </si>
  <si>
    <t>RAS40816</t>
  </si>
  <si>
    <t>RAS40824</t>
  </si>
  <si>
    <t>RAS40825</t>
  </si>
  <si>
    <t>RAS40826</t>
  </si>
  <si>
    <t>RAS40827</t>
  </si>
  <si>
    <t>RAS40832</t>
  </si>
  <si>
    <t>RAS40843</t>
  </si>
  <si>
    <t>RAS40846</t>
  </si>
  <si>
    <t>RAS41447</t>
  </si>
  <si>
    <t>RAS41449</t>
  </si>
  <si>
    <t>RAS44586</t>
  </si>
  <si>
    <t>RAS44588</t>
  </si>
  <si>
    <t>RAS44589</t>
  </si>
  <si>
    <t>RAS44590</t>
  </si>
  <si>
    <t>RAS44592</t>
  </si>
  <si>
    <t>RAS44599</t>
  </si>
  <si>
    <t>RAS44608</t>
  </si>
  <si>
    <t>RAS44623</t>
  </si>
  <si>
    <t>RAS44788</t>
  </si>
  <si>
    <t>RAS44825</t>
  </si>
  <si>
    <t>RAS44826</t>
  </si>
  <si>
    <t>RAS44827</t>
  </si>
  <si>
    <t>RAS44833</t>
  </si>
  <si>
    <t>RAS44834</t>
  </si>
  <si>
    <t>RAS45119</t>
  </si>
  <si>
    <t>RAS45129</t>
  </si>
  <si>
    <t>RAS45305</t>
  </si>
  <si>
    <t>RAS45343</t>
  </si>
  <si>
    <t>RAS45350</t>
  </si>
  <si>
    <t>RAS45362</t>
  </si>
  <si>
    <t>RAS45364</t>
  </si>
  <si>
    <t>RAS45367</t>
  </si>
  <si>
    <t>RAS45374</t>
  </si>
  <si>
    <t>RAS46223</t>
  </si>
  <si>
    <t>RAS46226</t>
  </si>
  <si>
    <t>RAS46228</t>
  </si>
  <si>
    <t>RAS46235</t>
  </si>
  <si>
    <t>RAS46237</t>
  </si>
  <si>
    <t>RAS46239</t>
  </si>
  <si>
    <t>RAS46242</t>
  </si>
  <si>
    <t>RAS50938</t>
  </si>
  <si>
    <t>RAS94082</t>
  </si>
  <si>
    <t>RAS135112</t>
  </si>
  <si>
    <t>RAS136532</t>
  </si>
  <si>
    <t>RAS138060</t>
  </si>
  <si>
    <t>RAS138061</t>
  </si>
  <si>
    <t>RAS138155</t>
  </si>
  <si>
    <t>RAS138158</t>
  </si>
  <si>
    <t>RAS138161</t>
  </si>
  <si>
    <t>RAS138843</t>
  </si>
  <si>
    <t>RAS139104</t>
  </si>
  <si>
    <t>RAS139108</t>
  </si>
  <si>
    <t>RAS139109</t>
  </si>
  <si>
    <t>RAS139110</t>
  </si>
  <si>
    <t>RAS139228</t>
  </si>
  <si>
    <t>RAS139236</t>
  </si>
  <si>
    <t>RAS162804</t>
  </si>
  <si>
    <t>RAS177672</t>
  </si>
  <si>
    <t>RAS177868</t>
  </si>
  <si>
    <t>RAS177969</t>
  </si>
  <si>
    <t>RAS178109</t>
  </si>
  <si>
    <t>RAS178666</t>
  </si>
  <si>
    <t>RAS180905</t>
  </si>
  <si>
    <t>RAS181509</t>
  </si>
  <si>
    <t>RAS181526</t>
  </si>
  <si>
    <t>RAS181528</t>
  </si>
  <si>
    <t>RAS181766</t>
  </si>
  <si>
    <t>RAS197778</t>
  </si>
  <si>
    <t>RAS222076</t>
  </si>
  <si>
    <t>RAS259747</t>
  </si>
  <si>
    <t>RAS261928</t>
  </si>
  <si>
    <t>RAS285438</t>
  </si>
  <si>
    <t>RAS307226</t>
  </si>
  <si>
    <t>RAS343103</t>
  </si>
  <si>
    <t>RAS378108</t>
  </si>
  <si>
    <t>RAS378913</t>
  </si>
  <si>
    <t>RAS389759</t>
  </si>
  <si>
    <t>RAS417225</t>
  </si>
  <si>
    <t>RAS436446</t>
  </si>
  <si>
    <t>RAS448922</t>
  </si>
  <si>
    <t>RAS448923</t>
  </si>
  <si>
    <t>RAS448924</t>
  </si>
  <si>
    <t>RAS448925</t>
  </si>
  <si>
    <t>RAS448926</t>
  </si>
  <si>
    <t>RAS448927</t>
  </si>
  <si>
    <t>RAS448928</t>
  </si>
  <si>
    <t>RAS448929</t>
  </si>
  <si>
    <t>RAS448930</t>
  </si>
  <si>
    <t>RAS448931</t>
  </si>
  <si>
    <t>RAS448932</t>
  </si>
  <si>
    <t>RAS448933</t>
  </si>
  <si>
    <t>RAS448934</t>
  </si>
  <si>
    <t>RAS448935</t>
  </si>
  <si>
    <t>RAS448936</t>
  </si>
  <si>
    <t>RAS448937</t>
  </si>
  <si>
    <t>RAS448938</t>
  </si>
  <si>
    <t>RAS448939</t>
  </si>
  <si>
    <t>RAS448940</t>
  </si>
  <si>
    <t>RAS448941</t>
  </si>
  <si>
    <t>RAS448942</t>
  </si>
  <si>
    <t>RAS448943</t>
  </si>
  <si>
    <t>RAS448944</t>
  </si>
  <si>
    <t>RAS448945</t>
  </si>
  <si>
    <t>RAS448946</t>
  </si>
  <si>
    <t>RAS448947</t>
  </si>
  <si>
    <t>RAS448948</t>
  </si>
  <si>
    <t>RAS448949</t>
  </si>
  <si>
    <t>RAS448950</t>
  </si>
  <si>
    <t>RAS448951</t>
  </si>
  <si>
    <t>RAS448952</t>
  </si>
  <si>
    <t>RAS448953</t>
  </si>
  <si>
    <t>RAS448954</t>
  </si>
  <si>
    <t>PTEN7814</t>
  </si>
  <si>
    <t>PTEN7815</t>
  </si>
  <si>
    <t>PTEN7816</t>
  </si>
  <si>
    <t>PTEN7823</t>
  </si>
  <si>
    <t>PTEN7824</t>
  </si>
  <si>
    <t>PTEN7828</t>
  </si>
  <si>
    <t>PTEN7829</t>
  </si>
  <si>
    <t>PTEN7831</t>
  </si>
  <si>
    <t>PTEN7834</t>
  </si>
  <si>
    <t>PTEN7844</t>
  </si>
  <si>
    <t>PTEN41682</t>
  </si>
  <si>
    <t>PTEN92808</t>
  </si>
  <si>
    <t>PTEN92810</t>
  </si>
  <si>
    <t>PTEN92813</t>
  </si>
  <si>
    <t>PTEN92816</t>
  </si>
  <si>
    <t>PTEN92818</t>
  </si>
  <si>
    <t>PTEN92822</t>
  </si>
  <si>
    <t>PTEN92827</t>
  </si>
  <si>
    <t>PTEN92829</t>
  </si>
  <si>
    <t>PTEN127661</t>
  </si>
  <si>
    <t>PTEN127662</t>
  </si>
  <si>
    <t>PTEN127667</t>
  </si>
  <si>
    <t>PTEN127674</t>
  </si>
  <si>
    <t>PTEN127687</t>
  </si>
  <si>
    <t>PTEN138835</t>
  </si>
  <si>
    <t>PTEN138836</t>
  </si>
  <si>
    <t>PTEN138837</t>
  </si>
  <si>
    <t>PTEN141485</t>
  </si>
  <si>
    <t>PTEN141654</t>
  </si>
  <si>
    <t>PTEN142220</t>
  </si>
  <si>
    <t>PTEN142269</t>
  </si>
  <si>
    <t>PTEN142423</t>
  </si>
  <si>
    <t>PTEN142681</t>
  </si>
  <si>
    <t>PTEN183722</t>
  </si>
  <si>
    <t>PTEN184104</t>
  </si>
  <si>
    <t>PTEN184505</t>
  </si>
  <si>
    <t>PTEN185213</t>
  </si>
  <si>
    <t>PTEN185989</t>
  </si>
  <si>
    <t>PTEN187590</t>
  </si>
  <si>
    <t>PTEN187657</t>
  </si>
  <si>
    <t>PTEN187673</t>
  </si>
  <si>
    <t>PTEN189406</t>
  </si>
  <si>
    <t>PTEN189411</t>
  </si>
  <si>
    <t>PTEN189424</t>
  </si>
  <si>
    <t>PTEN189425</t>
  </si>
  <si>
    <t>PTEN189426</t>
  </si>
  <si>
    <t>PTEN189441</t>
  </si>
  <si>
    <t>PTEN189462</t>
  </si>
  <si>
    <t>PTEN189500</t>
  </si>
  <si>
    <t>PTEN189520</t>
  </si>
  <si>
    <t>PTEN220007</t>
  </si>
  <si>
    <t>PTEN231916</t>
  </si>
  <si>
    <t>PTEN233415</t>
  </si>
  <si>
    <t>PTEN404140</t>
  </si>
  <si>
    <t>PTEN404147</t>
  </si>
  <si>
    <t>CARDIO14087</t>
  </si>
  <si>
    <t>CARDIO14089</t>
  </si>
  <si>
    <t>CARDIO14090</t>
  </si>
  <si>
    <t>CARDIO14095</t>
  </si>
  <si>
    <t>CARDIO14097</t>
  </si>
  <si>
    <t>CARDIO14098</t>
  </si>
  <si>
    <t>CARDIO14102</t>
  </si>
  <si>
    <t>CARDIO14104</t>
  </si>
  <si>
    <t>CARDIO14105</t>
  </si>
  <si>
    <t>CARDIO14107</t>
  </si>
  <si>
    <t>CARDIO14108</t>
  </si>
  <si>
    <t>CARDIO14120</t>
  </si>
  <si>
    <t>CARDIO14125</t>
  </si>
  <si>
    <t>CARDIO36641</t>
  </si>
  <si>
    <t>CARDIO36642</t>
  </si>
  <si>
    <t>CARDIO37375</t>
  </si>
  <si>
    <t>CARDIO42817</t>
  </si>
  <si>
    <t>CARDIO42819</t>
  </si>
  <si>
    <t>CARDIO42821</t>
  </si>
  <si>
    <t>CARDIO42822</t>
  </si>
  <si>
    <t>CARDIO42823</t>
  </si>
  <si>
    <t>CARDIO42838</t>
  </si>
  <si>
    <t>CARDIO42843</t>
  </si>
  <si>
    <t>CARDIO42853</t>
  </si>
  <si>
    <t>CARDIO42864</t>
  </si>
  <si>
    <t>CARDIO42869</t>
  </si>
  <si>
    <t>CARDIO42875</t>
  </si>
  <si>
    <t>CARDIO42884</t>
  </si>
  <si>
    <t>CARDIO42885</t>
  </si>
  <si>
    <t>CARDIO42900</t>
  </si>
  <si>
    <t>CARDIO42910</t>
  </si>
  <si>
    <t>CARDIO42911</t>
  </si>
  <si>
    <t>CARDIO42913</t>
  </si>
  <si>
    <t>CARDIO42915</t>
  </si>
  <si>
    <t>CARDIO42918</t>
  </si>
  <si>
    <t>CARDIO42922</t>
  </si>
  <si>
    <t>CARDIO42931</t>
  </si>
  <si>
    <t>CARDIO42934</t>
  </si>
  <si>
    <t>CARDIO42939</t>
  </si>
  <si>
    <t>CARDIO42941</t>
  </si>
  <si>
    <t>CARDIO42942</t>
  </si>
  <si>
    <t>CARDIO42944</t>
  </si>
  <si>
    <t>CARDIO42945</t>
  </si>
  <si>
    <t>CARDIO42946</t>
  </si>
  <si>
    <t>CARDIO42949</t>
  </si>
  <si>
    <t>CARDIO42950</t>
  </si>
  <si>
    <t>CARDIO42952</t>
  </si>
  <si>
    <t>CARDIO42953</t>
  </si>
  <si>
    <t>CARDIO42956</t>
  </si>
  <si>
    <t>CARDIO42957</t>
  </si>
  <si>
    <t>CARDIO42959</t>
  </si>
  <si>
    <t>CARDIO42965</t>
  </si>
  <si>
    <t>CARDIO42968</t>
  </si>
  <si>
    <t>CARDIO42974</t>
  </si>
  <si>
    <t>CARDIO42977</t>
  </si>
  <si>
    <t>CARDIO42979</t>
  </si>
  <si>
    <t>CARDIO42980</t>
  </si>
  <si>
    <t>CARDIO42988</t>
  </si>
  <si>
    <t>CARDIO42992</t>
  </si>
  <si>
    <t>CARDIO43003</t>
  </si>
  <si>
    <t>CARDIO43005</t>
  </si>
  <si>
    <t>CARDIO43006</t>
  </si>
  <si>
    <t>CARDIO43011</t>
  </si>
  <si>
    <t>CARDIO43012</t>
  </si>
  <si>
    <t>CARDIO43019</t>
  </si>
  <si>
    <t>CARDIO43020</t>
  </si>
  <si>
    <t>CARDIO43027</t>
  </si>
  <si>
    <t>CARDIO43029</t>
  </si>
  <si>
    <t>CARDIO43031</t>
  </si>
  <si>
    <t>CARDIO43032</t>
  </si>
  <si>
    <t>CARDIO43035</t>
  </si>
  <si>
    <t>CARDIO43038</t>
  </si>
  <si>
    <t>CARDIO43044</t>
  </si>
  <si>
    <t>CARDIO43048</t>
  </si>
  <si>
    <t>CARDIO43056</t>
  </si>
  <si>
    <t>CARDIO43059</t>
  </si>
  <si>
    <t>CARDIO43069</t>
  </si>
  <si>
    <t>CARDIO43076</t>
  </si>
  <si>
    <t>CARDIO43082</t>
  </si>
  <si>
    <t>CARDIO43085</t>
  </si>
  <si>
    <t>CARDIO43086</t>
  </si>
  <si>
    <t>CARDIO43088</t>
  </si>
  <si>
    <t>CARDIO43092</t>
  </si>
  <si>
    <t>CARDIO43103</t>
  </si>
  <si>
    <t>CARDIO43106</t>
  </si>
  <si>
    <t>CARDIO43116</t>
  </si>
  <si>
    <t>CARDIO138391</t>
  </si>
  <si>
    <t>CARDIO155814</t>
  </si>
  <si>
    <t>CARDIO161326</t>
  </si>
  <si>
    <t>CARDIO164294</t>
  </si>
  <si>
    <t>CARDIO164334</t>
  </si>
  <si>
    <t>CARDIO164342</t>
  </si>
  <si>
    <t>CARDIO164378</t>
  </si>
  <si>
    <t>CARDIO177629</t>
  </si>
  <si>
    <t>CARDIO177665</t>
  </si>
  <si>
    <t>CARDIO177697</t>
  </si>
  <si>
    <t>CARDIO177753</t>
  </si>
  <si>
    <t>CARDIO177757</t>
  </si>
  <si>
    <t>CARDIO177763</t>
  </si>
  <si>
    <t>CARDIO177817</t>
  </si>
  <si>
    <t>CARDIO177865</t>
  </si>
  <si>
    <t>CARDIO188628</t>
  </si>
  <si>
    <t>Novel</t>
  </si>
  <si>
    <r>
      <t xml:space="preserve">This is the master sheet which should be populated from the ClinVar submission_summary.txt file after filtering by ReviewStatus='reviewed by expert panel' and Submitter startsWith 'ClinGen'.
The green shaded area is reserved for the ClinVar downloaded data. Please be sure to redefine the Named region 'MasterLookup' to cover all new rows in the green shaded region.
At the bottom of the list, new records from individual submission reports will be returned to supplement the list and to continue to associate the VCI localID with SCVs.  (This should really only be needed if there are new submissions updated within a single window between ClinVar's biweekly output of the submission_summary.txt file)
Finally, always be sure to add new VCEPs to the VCEP-Lookup sheet and assure the named range VCEPs is updated to include new entries.
And, Update the VCEP-Reports sheet with new individual VCEP run reports from previous ClinVar submissions by appending to the bottom (duplicate records - from updated SCVs should be okay as long as it is the same LocalID. </t>
    </r>
    <r>
      <rPr>
        <i/>
        <sz val="12"/>
        <color rgb="FFFF0000"/>
        <rFont val="Calibri (Body)_x0000_"/>
      </rPr>
      <t>WARNING: if a previously submitted interpretation LocalId is deleted it should be removed from teh VCEP-Reports list</t>
    </r>
    <r>
      <rPr>
        <sz val="12"/>
        <color theme="1"/>
        <rFont val="Calibri"/>
        <family val="2"/>
        <scheme val="minor"/>
      </rPr>
      <t>)</t>
    </r>
  </si>
  <si>
    <t>&lt;add vcep abbr&gt;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</si>
</sst>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
    <font>
      <sz val="12"/>
      <color theme="1"/>
      <name val="Calibri"/>
      <family val="2"/>
      <scheme val="minor"/>
    </font>
    <font>
      <b/>
      <sz val="12"/>
      <color theme="1"/>
      <name val="Calibri"/>
      <family val="2"/>
      <scheme val="minor"/>
    </font>
    <font>
      <i/>
      <sz val="12"/>
      <color rgb="FFFF0000"/>
      <name val="Calibri (Body)_x0000_"/>
    </font>
  </fonts>
  <fills count="3">
    <fill>
      <patternFill patternType="none"/>
    </fill>
    <fill>
      <patternFill patternType="gray125"/>
    </fill>
    <fill>
      <patternFill patternType="solid">
        <fgColor theme="9" tint="0.79998168889431442"/>
        <bgColor indexed="64"/>
      </patternFill>
    </fill>
  </fills>
  <borders count="1">
    <border>
      <left/>
      <right/>
      <top/>
      <bottom/>
      <diagonal/>
    </border>
  </borders>
  <cellStyleXfs count="1">
    <xf numFmtId="0" fontId="0" fillId="0" borderId="0"/>
  </cellStyleXfs>
  <cellXfs count="12">
    <xf numFmtId="0" fontId="0" fillId="0" borderId="0" xfId="0"/>
    <xf numFmtId="15" fontId="0" fillId="0" borderId="0" xfId="0" applyNumberFormat="1"/>
    <xf numFmtId="0" fontId="0" fillId="0" borderId="0" xfId="0" applyAlignment="1">
      <alignment horizontal="left"/>
    </xf>
    <xf numFmtId="11" fontId="0" fillId="0" borderId="0" xfId="0" applyNumberFormat="1"/>
    <xf numFmtId="164" fontId="0" fillId="0" borderId="0" xfId="0" applyNumberFormat="1"/>
    <xf numFmtId="0" fontId="0" fillId="2" borderId="0" xfId="0" applyFill="1"/>
    <xf numFmtId="15" fontId="0" fillId="2" borderId="0" xfId="0" applyNumberFormat="1" applyFill="1"/>
    <xf numFmtId="0" fontId="1" fillId="0" borderId="0" xfId="0" applyFont="1"/>
    <xf numFmtId="0" fontId="0" fillId="0" borderId="0" xfId="0" applyAlignment="1">
      <alignment horizontal="left" vertical="top" wrapText="1"/>
    </xf>
    <xf numFmtId="0" fontId="0" fillId="2" borderId="0" xfId="0" applyFill="1" applyBorder="1"/>
    <xf numFmtId="15" fontId="0" fillId="2" borderId="0" xfId="0" applyNumberFormat="1" applyFill="1" applyBorder="1"/>
    <xf numFmtId="0" fontId="0" fillId="0" borderId="0"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77C78-AAA4-A745-A780-5E134D4959F8}">
  <dimension ref="A1:I18"/>
  <sheetViews>
    <sheetView workbookViewId="0">
      <selection activeCell="F22" sqref="F22"/>
    </sheetView>
  </sheetViews>
  <sheetFormatPr baseColWidth="10" defaultRowHeight="16"/>
  <cols>
    <col min="9" max="9" width="17.6640625" customWidth="1"/>
  </cols>
  <sheetData>
    <row r="1" spans="1:9" ht="16" customHeight="1">
      <c r="A1" s="8" t="s">
        <v>1725</v>
      </c>
      <c r="B1" s="8"/>
      <c r="C1" s="8"/>
      <c r="D1" s="8"/>
      <c r="E1" s="8"/>
      <c r="F1" s="8"/>
      <c r="G1" s="8"/>
      <c r="H1" s="8"/>
      <c r="I1" s="8"/>
    </row>
    <row r="2" spans="1:9">
      <c r="A2" s="8"/>
      <c r="B2" s="8"/>
      <c r="C2" s="8"/>
      <c r="D2" s="8"/>
      <c r="E2" s="8"/>
      <c r="F2" s="8"/>
      <c r="G2" s="8"/>
      <c r="H2" s="8"/>
      <c r="I2" s="8"/>
    </row>
    <row r="3" spans="1:9">
      <c r="A3" s="8"/>
      <c r="B3" s="8"/>
      <c r="C3" s="8"/>
      <c r="D3" s="8"/>
      <c r="E3" s="8"/>
      <c r="F3" s="8"/>
      <c r="G3" s="8"/>
      <c r="H3" s="8"/>
      <c r="I3" s="8"/>
    </row>
    <row r="4" spans="1:9">
      <c r="A4" s="8"/>
      <c r="B4" s="8"/>
      <c r="C4" s="8"/>
      <c r="D4" s="8"/>
      <c r="E4" s="8"/>
      <c r="F4" s="8"/>
      <c r="G4" s="8"/>
      <c r="H4" s="8"/>
      <c r="I4" s="8"/>
    </row>
    <row r="5" spans="1:9">
      <c r="A5" s="8"/>
      <c r="B5" s="8"/>
      <c r="C5" s="8"/>
      <c r="D5" s="8"/>
      <c r="E5" s="8"/>
      <c r="F5" s="8"/>
      <c r="G5" s="8"/>
      <c r="H5" s="8"/>
      <c r="I5" s="8"/>
    </row>
    <row r="6" spans="1:9">
      <c r="A6" s="8"/>
      <c r="B6" s="8"/>
      <c r="C6" s="8"/>
      <c r="D6" s="8"/>
      <c r="E6" s="8"/>
      <c r="F6" s="8"/>
      <c r="G6" s="8"/>
      <c r="H6" s="8"/>
      <c r="I6" s="8"/>
    </row>
    <row r="7" spans="1:9">
      <c r="A7" s="8"/>
      <c r="B7" s="8"/>
      <c r="C7" s="8"/>
      <c r="D7" s="8"/>
      <c r="E7" s="8"/>
      <c r="F7" s="8"/>
      <c r="G7" s="8"/>
      <c r="H7" s="8"/>
      <c r="I7" s="8"/>
    </row>
    <row r="8" spans="1:9">
      <c r="A8" s="8"/>
      <c r="B8" s="8"/>
      <c r="C8" s="8"/>
      <c r="D8" s="8"/>
      <c r="E8" s="8"/>
      <c r="F8" s="8"/>
      <c r="G8" s="8"/>
      <c r="H8" s="8"/>
      <c r="I8" s="8"/>
    </row>
    <row r="9" spans="1:9">
      <c r="A9" s="8"/>
      <c r="B9" s="8"/>
      <c r="C9" s="8"/>
      <c r="D9" s="8"/>
      <c r="E9" s="8"/>
      <c r="F9" s="8"/>
      <c r="G9" s="8"/>
      <c r="H9" s="8"/>
      <c r="I9" s="8"/>
    </row>
    <row r="10" spans="1:9">
      <c r="A10" s="8"/>
      <c r="B10" s="8"/>
      <c r="C10" s="8"/>
      <c r="D10" s="8"/>
      <c r="E10" s="8"/>
      <c r="F10" s="8"/>
      <c r="G10" s="8"/>
      <c r="H10" s="8"/>
      <c r="I10" s="8"/>
    </row>
    <row r="11" spans="1:9">
      <c r="A11" s="8"/>
      <c r="B11" s="8"/>
      <c r="C11" s="8"/>
      <c r="D11" s="8"/>
      <c r="E11" s="8"/>
      <c r="F11" s="8"/>
      <c r="G11" s="8"/>
      <c r="H11" s="8"/>
      <c r="I11" s="8"/>
    </row>
    <row r="12" spans="1:9">
      <c r="A12" s="8"/>
      <c r="B12" s="8"/>
      <c r="C12" s="8"/>
      <c r="D12" s="8"/>
      <c r="E12" s="8"/>
      <c r="F12" s="8"/>
      <c r="G12" s="8"/>
      <c r="H12" s="8"/>
      <c r="I12" s="8"/>
    </row>
    <row r="13" spans="1:9">
      <c r="A13" s="8"/>
      <c r="B13" s="8"/>
      <c r="C13" s="8"/>
      <c r="D13" s="8"/>
      <c r="E13" s="8"/>
      <c r="F13" s="8"/>
      <c r="G13" s="8"/>
      <c r="H13" s="8"/>
      <c r="I13" s="8"/>
    </row>
    <row r="14" spans="1:9">
      <c r="A14" s="8"/>
      <c r="B14" s="8"/>
      <c r="C14" s="8"/>
      <c r="D14" s="8"/>
      <c r="E14" s="8"/>
      <c r="F14" s="8"/>
      <c r="G14" s="8"/>
      <c r="H14" s="8"/>
      <c r="I14" s="8"/>
    </row>
    <row r="15" spans="1:9">
      <c r="A15" s="8"/>
      <c r="B15" s="8"/>
      <c r="C15" s="8"/>
      <c r="D15" s="8"/>
      <c r="E15" s="8"/>
      <c r="F15" s="8"/>
      <c r="G15" s="8"/>
      <c r="H15" s="8"/>
      <c r="I15" s="8"/>
    </row>
    <row r="16" spans="1:9">
      <c r="A16" s="8"/>
      <c r="B16" s="8"/>
      <c r="C16" s="8"/>
      <c r="D16" s="8"/>
      <c r="E16" s="8"/>
      <c r="F16" s="8"/>
      <c r="G16" s="8"/>
      <c r="H16" s="8"/>
      <c r="I16" s="8"/>
    </row>
    <row r="17" spans="1:9">
      <c r="A17" s="8"/>
      <c r="B17" s="8"/>
      <c r="C17" s="8"/>
      <c r="D17" s="8"/>
      <c r="E17" s="8"/>
      <c r="F17" s="8"/>
      <c r="G17" s="8"/>
      <c r="H17" s="8"/>
      <c r="I17" s="8"/>
    </row>
    <row r="18" spans="1:9">
      <c r="A18" s="8"/>
      <c r="B18" s="8"/>
      <c r="C18" s="8"/>
      <c r="D18" s="8"/>
      <c r="E18" s="8"/>
      <c r="F18" s="8"/>
      <c r="G18" s="8"/>
      <c r="H18" s="8"/>
      <c r="I18" s="8"/>
    </row>
  </sheetData>
  <mergeCells count="1">
    <mergeCell ref="A1:I1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CD25F-F0E1-5C4C-8A62-22DF79ECB623}">
  <sheetPr codeName="Sheet2"/>
  <dimension ref="A1:XFD530"/>
  <sheetViews>
    <sheetView topLeftCell="A488" workbookViewId="0">
      <selection activeCell="G541" sqref="G541"/>
    </sheetView>
  </sheetViews>
  <sheetFormatPr baseColWidth="10" defaultRowHeight="16"/>
  <cols>
    <col min="1" max="1" width="13.1640625" bestFit="1" customWidth="1"/>
    <col min="2" max="3" width="13.1640625" customWidth="1"/>
    <col min="4" max="4" width="10.33203125" bestFit="1" customWidth="1"/>
    <col min="5" max="5" width="19.5" bestFit="1" customWidth="1"/>
    <col min="6" max="6" width="16.5" bestFit="1" customWidth="1"/>
    <col min="7" max="7" width="33.83203125" customWidth="1"/>
    <col min="8" max="8" width="33.33203125" bestFit="1" customWidth="1"/>
    <col min="9" max="9" width="31.83203125" customWidth="1"/>
    <col min="10" max="10" width="22" bestFit="1" customWidth="1"/>
    <col min="11" max="11" width="15.5" bestFit="1" customWidth="1"/>
    <col min="12" max="12" width="11.6640625" bestFit="1" customWidth="1"/>
    <col min="13" max="13" width="41" bestFit="1" customWidth="1"/>
    <col min="14" max="14" width="14.83203125" bestFit="1" customWidth="1"/>
    <col min="15" max="15" width="20.1640625" bestFit="1" customWidth="1"/>
    <col min="16" max="16" width="24.33203125" bestFit="1" customWidth="1"/>
  </cols>
  <sheetData>
    <row r="1" spans="1:16 16384:16384" s="7" customFormat="1">
      <c r="A1" s="7" t="s">
        <v>944</v>
      </c>
      <c r="B1" s="7" t="s">
        <v>1195</v>
      </c>
      <c r="C1" s="7" t="s">
        <v>1193</v>
      </c>
      <c r="D1" s="7" t="s">
        <v>912</v>
      </c>
      <c r="E1" s="7" t="s">
        <v>898</v>
      </c>
      <c r="F1" s="7" t="s">
        <v>899</v>
      </c>
      <c r="G1" s="7" t="s">
        <v>900</v>
      </c>
      <c r="H1" s="7" t="s">
        <v>901</v>
      </c>
      <c r="I1" s="7" t="s">
        <v>902</v>
      </c>
      <c r="J1" s="7" t="s">
        <v>903</v>
      </c>
      <c r="K1" s="7" t="s">
        <v>904</v>
      </c>
      <c r="L1" s="7" t="s">
        <v>905</v>
      </c>
      <c r="M1" s="7" t="s">
        <v>906</v>
      </c>
      <c r="N1" s="7" t="s">
        <v>907</v>
      </c>
      <c r="O1" s="7" t="s">
        <v>908</v>
      </c>
      <c r="P1" s="7" t="s">
        <v>909</v>
      </c>
      <c r="XFD1"/>
    </row>
    <row r="2" spans="1:16 16384:16384" s="5" customFormat="1">
      <c r="A2" s="5" t="str">
        <f t="shared" ref="A2:A65" si="0">VLOOKUP(M2,VCEPs,2,FALSE)</f>
        <v>PAH</v>
      </c>
      <c r="B2" s="5" t="str">
        <f>CONCATENATE(A2,D2)</f>
        <v>PAH576</v>
      </c>
      <c r="C2" s="5" t="str">
        <f>IF(ISNA(VLOOKUP(A2&amp;D2,VCEPReports,4,FALSE)),"",VLOOKUP(A2&amp;D2,VCEPReports,4,FALSE))</f>
        <v/>
      </c>
      <c r="D2" s="5">
        <v>576</v>
      </c>
      <c r="E2" s="5" t="s">
        <v>3</v>
      </c>
      <c r="F2" s="6">
        <v>43317</v>
      </c>
      <c r="G2" s="5" t="s">
        <v>4</v>
      </c>
      <c r="H2" s="5" t="s">
        <v>5</v>
      </c>
      <c r="I2" s="5" t="s">
        <v>6</v>
      </c>
      <c r="J2" s="5" t="s">
        <v>0</v>
      </c>
      <c r="K2" s="5" t="s">
        <v>1</v>
      </c>
      <c r="L2" s="5" t="s">
        <v>2</v>
      </c>
      <c r="M2" s="5" t="s">
        <v>913</v>
      </c>
      <c r="N2" s="5" t="s">
        <v>7</v>
      </c>
      <c r="O2" s="5" t="s">
        <v>8</v>
      </c>
      <c r="P2" s="5" t="s">
        <v>9</v>
      </c>
      <c r="XFD2"/>
    </row>
    <row r="3" spans="1:16 16384:16384" s="5" customFormat="1">
      <c r="A3" s="5" t="str">
        <f t="shared" si="0"/>
        <v>PAH</v>
      </c>
      <c r="B3" s="5" t="str">
        <f t="shared" ref="B3:B66" si="1">CONCATENATE(A3,D3)</f>
        <v>PAH577</v>
      </c>
      <c r="C3" s="5" t="str">
        <f>IF(ISNA(VLOOKUP(A3&amp;D3,VCEPReports,4,FALSE)),"",VLOOKUP(A3&amp;D3,VCEPReports,4,FALSE))</f>
        <v/>
      </c>
      <c r="D3" s="5">
        <v>577</v>
      </c>
      <c r="E3" s="5" t="s">
        <v>3</v>
      </c>
      <c r="F3" s="6">
        <v>43318</v>
      </c>
      <c r="G3" s="5" t="s">
        <v>10</v>
      </c>
      <c r="H3" s="5" t="s">
        <v>5</v>
      </c>
      <c r="I3" s="5" t="s">
        <v>6</v>
      </c>
      <c r="J3" s="5" t="s">
        <v>0</v>
      </c>
      <c r="K3" s="5" t="s">
        <v>1</v>
      </c>
      <c r="L3" s="5" t="s">
        <v>2</v>
      </c>
      <c r="M3" s="5" t="s">
        <v>913</v>
      </c>
      <c r="N3" s="5" t="s">
        <v>11</v>
      </c>
      <c r="O3" s="5" t="s">
        <v>8</v>
      </c>
      <c r="P3" s="5" t="s">
        <v>9</v>
      </c>
      <c r="XFD3"/>
    </row>
    <row r="4" spans="1:16 16384:16384" s="5" customFormat="1">
      <c r="A4" s="5" t="str">
        <f t="shared" si="0"/>
        <v>PAH</v>
      </c>
      <c r="B4" s="5" t="str">
        <f t="shared" si="1"/>
        <v>PAH581</v>
      </c>
      <c r="C4" s="5" t="str">
        <f>IF(ISNA(VLOOKUP(A4&amp;D4,VCEPReports,4,FALSE)),"",VLOOKUP(A4&amp;D4,VCEPReports,4,FALSE))</f>
        <v/>
      </c>
      <c r="D4" s="5">
        <v>581</v>
      </c>
      <c r="E4" s="5" t="s">
        <v>3</v>
      </c>
      <c r="F4" s="6">
        <v>43322</v>
      </c>
      <c r="G4" s="5" t="s">
        <v>12</v>
      </c>
      <c r="H4" s="5" t="s">
        <v>5</v>
      </c>
      <c r="I4" s="5" t="s">
        <v>6</v>
      </c>
      <c r="J4" s="5" t="s">
        <v>0</v>
      </c>
      <c r="K4" s="5" t="s">
        <v>1</v>
      </c>
      <c r="L4" s="5" t="s">
        <v>2</v>
      </c>
      <c r="M4" s="5" t="s">
        <v>913</v>
      </c>
      <c r="N4" s="5" t="s">
        <v>13</v>
      </c>
      <c r="O4" s="5" t="s">
        <v>8</v>
      </c>
      <c r="P4" s="5" t="s">
        <v>9</v>
      </c>
      <c r="XFD4"/>
    </row>
    <row r="5" spans="1:16 16384:16384" s="5" customFormat="1">
      <c r="A5" s="5" t="str">
        <f t="shared" si="0"/>
        <v>PAH</v>
      </c>
      <c r="B5" s="5" t="str">
        <f t="shared" si="1"/>
        <v>PAH582</v>
      </c>
      <c r="C5" s="5" t="str">
        <f>IF(ISNA(VLOOKUP(A5&amp;D5,VCEPReports,4,FALSE)),"",VLOOKUP(A5&amp;D5,VCEPReports,4,FALSE))</f>
        <v/>
      </c>
      <c r="D5" s="5">
        <v>582</v>
      </c>
      <c r="E5" s="5" t="s">
        <v>3</v>
      </c>
      <c r="F5" s="6">
        <v>43325</v>
      </c>
      <c r="G5" s="5" t="s">
        <v>14</v>
      </c>
      <c r="H5" s="5" t="s">
        <v>5</v>
      </c>
      <c r="I5" s="5" t="s">
        <v>6</v>
      </c>
      <c r="J5" s="5" t="s">
        <v>0</v>
      </c>
      <c r="K5" s="5" t="s">
        <v>1</v>
      </c>
      <c r="L5" s="5" t="s">
        <v>2</v>
      </c>
      <c r="M5" s="5" t="s">
        <v>913</v>
      </c>
      <c r="N5" s="5" t="s">
        <v>15</v>
      </c>
      <c r="O5" s="5" t="s">
        <v>8</v>
      </c>
      <c r="P5" s="5" t="s">
        <v>9</v>
      </c>
      <c r="XFD5"/>
    </row>
    <row r="6" spans="1:16 16384:16384" s="5" customFormat="1">
      <c r="A6" s="5" t="str">
        <f t="shared" si="0"/>
        <v>PAH</v>
      </c>
      <c r="B6" s="5" t="str">
        <f t="shared" si="1"/>
        <v>PAH584</v>
      </c>
      <c r="C6" s="5" t="str">
        <f>IF(ISNA(VLOOKUP(A6&amp;D6,VCEPReports,4,FALSE)),"",VLOOKUP(A6&amp;D6,VCEPReports,4,FALSE))</f>
        <v/>
      </c>
      <c r="D6" s="5">
        <v>584</v>
      </c>
      <c r="E6" s="5" t="s">
        <v>3</v>
      </c>
      <c r="F6" s="6">
        <v>43325</v>
      </c>
      <c r="G6" s="5" t="s">
        <v>16</v>
      </c>
      <c r="H6" s="5" t="s">
        <v>5</v>
      </c>
      <c r="I6" s="5" t="s">
        <v>6</v>
      </c>
      <c r="J6" s="5" t="s">
        <v>0</v>
      </c>
      <c r="K6" s="5" t="s">
        <v>1</v>
      </c>
      <c r="L6" s="5" t="s">
        <v>2</v>
      </c>
      <c r="M6" s="5" t="s">
        <v>913</v>
      </c>
      <c r="N6" s="5" t="s">
        <v>17</v>
      </c>
      <c r="O6" s="5" t="s">
        <v>8</v>
      </c>
      <c r="P6" s="5" t="s">
        <v>9</v>
      </c>
      <c r="XFD6"/>
    </row>
    <row r="7" spans="1:16 16384:16384" s="5" customFormat="1">
      <c r="A7" s="5" t="str">
        <f t="shared" si="0"/>
        <v>PAH</v>
      </c>
      <c r="B7" s="5" t="str">
        <f t="shared" si="1"/>
        <v>PAH586</v>
      </c>
      <c r="C7" s="5" t="str">
        <f>IF(ISNA(VLOOKUP(A7&amp;D7,VCEPReports,4,FALSE)),"",VLOOKUP(A7&amp;D7,VCEPReports,4,FALSE))</f>
        <v/>
      </c>
      <c r="D7" s="5">
        <v>586</v>
      </c>
      <c r="E7" s="5" t="s">
        <v>3</v>
      </c>
      <c r="F7" s="6">
        <v>43319</v>
      </c>
      <c r="G7" s="5" t="s">
        <v>18</v>
      </c>
      <c r="H7" s="5" t="s">
        <v>5</v>
      </c>
      <c r="I7" s="5" t="s">
        <v>6</v>
      </c>
      <c r="J7" s="5" t="s">
        <v>0</v>
      </c>
      <c r="K7" s="5" t="s">
        <v>1</v>
      </c>
      <c r="L7" s="5" t="s">
        <v>2</v>
      </c>
      <c r="M7" s="5" t="s">
        <v>913</v>
      </c>
      <c r="N7" s="5" t="s">
        <v>19</v>
      </c>
      <c r="O7" s="5" t="s">
        <v>8</v>
      </c>
      <c r="P7" s="5" t="s">
        <v>9</v>
      </c>
      <c r="XFD7"/>
    </row>
    <row r="8" spans="1:16 16384:16384" s="5" customFormat="1">
      <c r="A8" s="5" t="str">
        <f t="shared" si="0"/>
        <v>PAH</v>
      </c>
      <c r="B8" s="5" t="str">
        <f t="shared" si="1"/>
        <v>PAH587</v>
      </c>
      <c r="C8" s="5" t="str">
        <f>IF(ISNA(VLOOKUP(A8&amp;D8,VCEPReports,4,FALSE)),"",VLOOKUP(A8&amp;D8,VCEPReports,4,FALSE))</f>
        <v/>
      </c>
      <c r="D8" s="5">
        <v>587</v>
      </c>
      <c r="E8" s="5" t="s">
        <v>3</v>
      </c>
      <c r="F8" s="6">
        <v>43317</v>
      </c>
      <c r="G8" s="5" t="s">
        <v>20</v>
      </c>
      <c r="H8" s="5" t="s">
        <v>5</v>
      </c>
      <c r="I8" s="5" t="s">
        <v>6</v>
      </c>
      <c r="J8" s="5" t="s">
        <v>0</v>
      </c>
      <c r="K8" s="5" t="s">
        <v>1</v>
      </c>
      <c r="L8" s="5" t="s">
        <v>2</v>
      </c>
      <c r="M8" s="5" t="s">
        <v>913</v>
      </c>
      <c r="N8" s="5" t="s">
        <v>21</v>
      </c>
      <c r="O8" s="5" t="s">
        <v>8</v>
      </c>
      <c r="P8" s="5" t="s">
        <v>9</v>
      </c>
      <c r="XFD8"/>
    </row>
    <row r="9" spans="1:16 16384:16384" s="5" customFormat="1">
      <c r="A9" s="5" t="str">
        <f t="shared" si="0"/>
        <v>PAH</v>
      </c>
      <c r="B9" s="5" t="str">
        <f t="shared" si="1"/>
        <v>PAH588</v>
      </c>
      <c r="C9" s="5" t="str">
        <f>IF(ISNA(VLOOKUP(A9&amp;D9,VCEPReports,4,FALSE)),"",VLOOKUP(A9&amp;D9,VCEPReports,4,FALSE))</f>
        <v/>
      </c>
      <c r="D9" s="5">
        <v>588</v>
      </c>
      <c r="E9" s="5" t="s">
        <v>3</v>
      </c>
      <c r="F9" s="6">
        <v>43319</v>
      </c>
      <c r="G9" s="5" t="s">
        <v>22</v>
      </c>
      <c r="H9" s="5" t="s">
        <v>5</v>
      </c>
      <c r="I9" s="5" t="s">
        <v>6</v>
      </c>
      <c r="J9" s="5" t="s">
        <v>0</v>
      </c>
      <c r="K9" s="5" t="s">
        <v>1</v>
      </c>
      <c r="L9" s="5" t="s">
        <v>2</v>
      </c>
      <c r="M9" s="5" t="s">
        <v>913</v>
      </c>
      <c r="N9" s="5" t="s">
        <v>23</v>
      </c>
      <c r="O9" s="5" t="s">
        <v>8</v>
      </c>
      <c r="P9" s="5" t="s">
        <v>9</v>
      </c>
      <c r="XFD9"/>
    </row>
    <row r="10" spans="1:16 16384:16384" s="5" customFormat="1">
      <c r="A10" s="5" t="str">
        <f t="shared" si="0"/>
        <v>PAH</v>
      </c>
      <c r="B10" s="5" t="str">
        <f t="shared" si="1"/>
        <v>PAH589</v>
      </c>
      <c r="C10" s="5" t="str">
        <f>IF(ISNA(VLOOKUP(A10&amp;D10,VCEPReports,4,FALSE)),"",VLOOKUP(A10&amp;D10,VCEPReports,4,FALSE))</f>
        <v/>
      </c>
      <c r="D10" s="5">
        <v>589</v>
      </c>
      <c r="E10" s="5" t="s">
        <v>24</v>
      </c>
      <c r="F10" s="6">
        <v>43339</v>
      </c>
      <c r="G10" s="5" t="s">
        <v>25</v>
      </c>
      <c r="H10" s="5" t="s">
        <v>5</v>
      </c>
      <c r="I10" s="5" t="s">
        <v>6</v>
      </c>
      <c r="J10" s="5" t="s">
        <v>0</v>
      </c>
      <c r="K10" s="5" t="s">
        <v>1</v>
      </c>
      <c r="L10" s="5" t="s">
        <v>2</v>
      </c>
      <c r="M10" s="5" t="s">
        <v>913</v>
      </c>
      <c r="N10" s="5" t="s">
        <v>26</v>
      </c>
      <c r="O10" s="5" t="s">
        <v>8</v>
      </c>
      <c r="P10" s="5" t="s">
        <v>9</v>
      </c>
      <c r="XFD10"/>
    </row>
    <row r="11" spans="1:16 16384:16384" s="5" customFormat="1">
      <c r="A11" s="5" t="str">
        <f t="shared" si="0"/>
        <v>PAH</v>
      </c>
      <c r="B11" s="5" t="str">
        <f t="shared" si="1"/>
        <v>PAH592</v>
      </c>
      <c r="C11" s="5" t="str">
        <f>IF(ISNA(VLOOKUP(A11&amp;D11,VCEPReports,4,FALSE)),"",VLOOKUP(A11&amp;D11,VCEPReports,4,FALSE))</f>
        <v/>
      </c>
      <c r="D11" s="5">
        <v>592</v>
      </c>
      <c r="E11" s="5" t="s">
        <v>3</v>
      </c>
      <c r="F11" s="6">
        <v>43317</v>
      </c>
      <c r="G11" s="5" t="s">
        <v>27</v>
      </c>
      <c r="H11" s="5" t="s">
        <v>5</v>
      </c>
      <c r="I11" s="5" t="s">
        <v>6</v>
      </c>
      <c r="J11" s="5" t="s">
        <v>0</v>
      </c>
      <c r="K11" s="5" t="s">
        <v>1</v>
      </c>
      <c r="L11" s="5" t="s">
        <v>2</v>
      </c>
      <c r="M11" s="5" t="s">
        <v>913</v>
      </c>
      <c r="N11" s="5" t="s">
        <v>28</v>
      </c>
      <c r="O11" s="5" t="s">
        <v>8</v>
      </c>
      <c r="P11" s="5" t="s">
        <v>9</v>
      </c>
      <c r="XFD11"/>
    </row>
    <row r="12" spans="1:16 16384:16384" s="5" customFormat="1">
      <c r="A12" s="5" t="str">
        <f t="shared" si="0"/>
        <v>PAH</v>
      </c>
      <c r="B12" s="5" t="str">
        <f t="shared" si="1"/>
        <v>PAH593</v>
      </c>
      <c r="C12" s="5" t="str">
        <f>IF(ISNA(VLOOKUP(A12&amp;D12,VCEPReports,4,FALSE)),"",VLOOKUP(A12&amp;D12,VCEPReports,4,FALSE))</f>
        <v/>
      </c>
      <c r="D12" s="5">
        <v>593</v>
      </c>
      <c r="E12" s="5" t="s">
        <v>3</v>
      </c>
      <c r="F12" s="6">
        <v>43308</v>
      </c>
      <c r="G12" s="5" t="s">
        <v>29</v>
      </c>
      <c r="H12" s="5" t="s">
        <v>5</v>
      </c>
      <c r="I12" s="5" t="s">
        <v>6</v>
      </c>
      <c r="J12" s="5" t="s">
        <v>0</v>
      </c>
      <c r="K12" s="5" t="s">
        <v>1</v>
      </c>
      <c r="L12" s="5" t="s">
        <v>2</v>
      </c>
      <c r="M12" s="5" t="s">
        <v>913</v>
      </c>
      <c r="N12" s="5" t="s">
        <v>30</v>
      </c>
      <c r="O12" s="5" t="s">
        <v>8</v>
      </c>
      <c r="P12" s="5" t="s">
        <v>9</v>
      </c>
      <c r="XFD12"/>
    </row>
    <row r="13" spans="1:16 16384:16384" s="5" customFormat="1">
      <c r="A13" s="5" t="str">
        <f t="shared" si="0"/>
        <v>PAH</v>
      </c>
      <c r="B13" s="5" t="str">
        <f t="shared" si="1"/>
        <v>PAH594</v>
      </c>
      <c r="C13" s="5" t="str">
        <f>IF(ISNA(VLOOKUP(A13&amp;D13,VCEPReports,4,FALSE)),"",VLOOKUP(A13&amp;D13,VCEPReports,4,FALSE))</f>
        <v/>
      </c>
      <c r="D13" s="5">
        <v>594</v>
      </c>
      <c r="E13" s="5" t="s">
        <v>3</v>
      </c>
      <c r="F13" s="6">
        <v>43317</v>
      </c>
      <c r="G13" s="5" t="s">
        <v>31</v>
      </c>
      <c r="H13" s="5" t="s">
        <v>5</v>
      </c>
      <c r="I13" s="5" t="s">
        <v>6</v>
      </c>
      <c r="J13" s="5" t="s">
        <v>0</v>
      </c>
      <c r="K13" s="5" t="s">
        <v>1</v>
      </c>
      <c r="L13" s="5" t="s">
        <v>2</v>
      </c>
      <c r="M13" s="5" t="s">
        <v>913</v>
      </c>
      <c r="N13" s="5" t="s">
        <v>32</v>
      </c>
      <c r="O13" s="5" t="s">
        <v>8</v>
      </c>
      <c r="P13" s="5" t="s">
        <v>9</v>
      </c>
      <c r="XFD13"/>
    </row>
    <row r="14" spans="1:16 16384:16384" s="5" customFormat="1">
      <c r="A14" s="5" t="str">
        <f t="shared" si="0"/>
        <v>PAH</v>
      </c>
      <c r="B14" s="5" t="str">
        <f t="shared" si="1"/>
        <v>PAH595</v>
      </c>
      <c r="C14" s="5" t="str">
        <f>IF(ISNA(VLOOKUP(A14&amp;D14,VCEPReports,4,FALSE)),"",VLOOKUP(A14&amp;D14,VCEPReports,4,FALSE))</f>
        <v/>
      </c>
      <c r="D14" s="5">
        <v>595</v>
      </c>
      <c r="E14" s="5" t="s">
        <v>3</v>
      </c>
      <c r="F14" s="6">
        <v>43319</v>
      </c>
      <c r="G14" s="5" t="s">
        <v>33</v>
      </c>
      <c r="H14" s="5" t="s">
        <v>5</v>
      </c>
      <c r="I14" s="5" t="s">
        <v>6</v>
      </c>
      <c r="J14" s="5" t="s">
        <v>0</v>
      </c>
      <c r="K14" s="5" t="s">
        <v>1</v>
      </c>
      <c r="L14" s="5" t="s">
        <v>2</v>
      </c>
      <c r="M14" s="5" t="s">
        <v>913</v>
      </c>
      <c r="N14" s="5" t="s">
        <v>34</v>
      </c>
      <c r="O14" s="5" t="s">
        <v>8</v>
      </c>
      <c r="P14" s="5" t="s">
        <v>9</v>
      </c>
      <c r="XFD14"/>
    </row>
    <row r="15" spans="1:16 16384:16384" s="5" customFormat="1">
      <c r="A15" s="5" t="str">
        <f t="shared" si="0"/>
        <v>PAH</v>
      </c>
      <c r="B15" s="5" t="str">
        <f t="shared" si="1"/>
        <v>PAH596</v>
      </c>
      <c r="C15" s="5" t="str">
        <f>IF(ISNA(VLOOKUP(A15&amp;D15,VCEPReports,4,FALSE)),"",VLOOKUP(A15&amp;D15,VCEPReports,4,FALSE))</f>
        <v/>
      </c>
      <c r="D15" s="5">
        <v>596</v>
      </c>
      <c r="E15" s="5" t="s">
        <v>3</v>
      </c>
      <c r="F15" s="6">
        <v>43322</v>
      </c>
      <c r="G15" s="5" t="s">
        <v>35</v>
      </c>
      <c r="H15" s="5" t="s">
        <v>5</v>
      </c>
      <c r="I15" s="5" t="s">
        <v>6</v>
      </c>
      <c r="J15" s="5" t="s">
        <v>0</v>
      </c>
      <c r="K15" s="5" t="s">
        <v>1</v>
      </c>
      <c r="L15" s="5" t="s">
        <v>2</v>
      </c>
      <c r="M15" s="5" t="s">
        <v>913</v>
      </c>
      <c r="N15" s="5" t="s">
        <v>36</v>
      </c>
      <c r="O15" s="5" t="s">
        <v>8</v>
      </c>
      <c r="P15" s="5" t="s">
        <v>9</v>
      </c>
      <c r="XFD15"/>
    </row>
    <row r="16" spans="1:16 16384:16384" s="5" customFormat="1">
      <c r="A16" s="5" t="str">
        <f t="shared" si="0"/>
        <v>PAH</v>
      </c>
      <c r="B16" s="5" t="str">
        <f t="shared" si="1"/>
        <v>PAH598</v>
      </c>
      <c r="C16" s="5" t="str">
        <f>IF(ISNA(VLOOKUP(A16&amp;D16,VCEPReports,4,FALSE)),"",VLOOKUP(A16&amp;D16,VCEPReports,4,FALSE))</f>
        <v/>
      </c>
      <c r="D16" s="5">
        <v>598</v>
      </c>
      <c r="E16" s="5" t="s">
        <v>24</v>
      </c>
      <c r="F16" s="6">
        <v>43322</v>
      </c>
      <c r="G16" s="5" t="s">
        <v>37</v>
      </c>
      <c r="H16" s="5" t="s">
        <v>5</v>
      </c>
      <c r="I16" s="5" t="s">
        <v>6</v>
      </c>
      <c r="J16" s="5" t="s">
        <v>0</v>
      </c>
      <c r="K16" s="5" t="s">
        <v>1</v>
      </c>
      <c r="L16" s="5" t="s">
        <v>2</v>
      </c>
      <c r="M16" s="5" t="s">
        <v>913</v>
      </c>
      <c r="N16" s="5" t="s">
        <v>38</v>
      </c>
      <c r="O16" s="5" t="s">
        <v>8</v>
      </c>
      <c r="P16" s="5" t="s">
        <v>9</v>
      </c>
      <c r="XFD16"/>
    </row>
    <row r="17" spans="1:16 16384:16384" s="5" customFormat="1">
      <c r="A17" s="5" t="str">
        <f t="shared" si="0"/>
        <v>PAH</v>
      </c>
      <c r="B17" s="5" t="str">
        <f t="shared" si="1"/>
        <v>PAH599</v>
      </c>
      <c r="C17" s="5" t="str">
        <f>IF(ISNA(VLOOKUP(A17&amp;D17,VCEPReports,4,FALSE)),"",VLOOKUP(A17&amp;D17,VCEPReports,4,FALSE))</f>
        <v/>
      </c>
      <c r="D17" s="5">
        <v>599</v>
      </c>
      <c r="E17" s="5" t="s">
        <v>3</v>
      </c>
      <c r="F17" s="6">
        <v>43325</v>
      </c>
      <c r="G17" s="5" t="s">
        <v>39</v>
      </c>
      <c r="H17" s="5" t="s">
        <v>5</v>
      </c>
      <c r="I17" s="5" t="s">
        <v>6</v>
      </c>
      <c r="J17" s="5" t="s">
        <v>0</v>
      </c>
      <c r="K17" s="5" t="s">
        <v>1</v>
      </c>
      <c r="L17" s="5" t="s">
        <v>2</v>
      </c>
      <c r="M17" s="5" t="s">
        <v>913</v>
      </c>
      <c r="N17" s="5" t="s">
        <v>40</v>
      </c>
      <c r="O17" s="5" t="s">
        <v>8</v>
      </c>
      <c r="P17" s="5" t="s">
        <v>9</v>
      </c>
      <c r="XFD17"/>
    </row>
    <row r="18" spans="1:16 16384:16384" s="5" customFormat="1">
      <c r="A18" s="5" t="str">
        <f t="shared" si="0"/>
        <v>PAH</v>
      </c>
      <c r="B18" s="5" t="str">
        <f t="shared" si="1"/>
        <v>PAH601</v>
      </c>
      <c r="C18" s="5" t="str">
        <f>IF(ISNA(VLOOKUP(A18&amp;D18,VCEPReports,4,FALSE)),"",VLOOKUP(A18&amp;D18,VCEPReports,4,FALSE))</f>
        <v/>
      </c>
      <c r="D18" s="5">
        <v>601</v>
      </c>
      <c r="E18" s="5" t="s">
        <v>3</v>
      </c>
      <c r="F18" s="6">
        <v>43309</v>
      </c>
      <c r="G18" s="5" t="s">
        <v>41</v>
      </c>
      <c r="H18" s="5" t="s">
        <v>5</v>
      </c>
      <c r="I18" s="5" t="s">
        <v>6</v>
      </c>
      <c r="J18" s="5" t="s">
        <v>0</v>
      </c>
      <c r="K18" s="5" t="s">
        <v>1</v>
      </c>
      <c r="L18" s="5" t="s">
        <v>2</v>
      </c>
      <c r="M18" s="5" t="s">
        <v>913</v>
      </c>
      <c r="N18" s="5" t="s">
        <v>42</v>
      </c>
      <c r="O18" s="5" t="s">
        <v>8</v>
      </c>
      <c r="P18" s="5" t="s">
        <v>9</v>
      </c>
      <c r="XFD18"/>
    </row>
    <row r="19" spans="1:16 16384:16384" s="5" customFormat="1">
      <c r="A19" s="5" t="str">
        <f t="shared" si="0"/>
        <v>PAH</v>
      </c>
      <c r="B19" s="5" t="str">
        <f t="shared" si="1"/>
        <v>PAH603</v>
      </c>
      <c r="C19" s="5" t="str">
        <f>IF(ISNA(VLOOKUP(A19&amp;D19,VCEPReports,4,FALSE)),"",VLOOKUP(A19&amp;D19,VCEPReports,4,FALSE))</f>
        <v/>
      </c>
      <c r="D19" s="5">
        <v>603</v>
      </c>
      <c r="E19" s="5" t="s">
        <v>3</v>
      </c>
      <c r="F19" s="6">
        <v>43317</v>
      </c>
      <c r="G19" s="5" t="s">
        <v>43</v>
      </c>
      <c r="H19" s="5" t="s">
        <v>5</v>
      </c>
      <c r="I19" s="5" t="s">
        <v>6</v>
      </c>
      <c r="J19" s="5" t="s">
        <v>0</v>
      </c>
      <c r="K19" s="5" t="s">
        <v>1</v>
      </c>
      <c r="L19" s="5" t="s">
        <v>2</v>
      </c>
      <c r="M19" s="5" t="s">
        <v>913</v>
      </c>
      <c r="N19" s="5" t="s">
        <v>44</v>
      </c>
      <c r="O19" s="5" t="s">
        <v>8</v>
      </c>
      <c r="P19" s="5" t="s">
        <v>9</v>
      </c>
      <c r="XFD19"/>
    </row>
    <row r="20" spans="1:16 16384:16384" s="5" customFormat="1">
      <c r="A20" s="5" t="str">
        <f t="shared" si="0"/>
        <v>PAH</v>
      </c>
      <c r="B20" s="5" t="str">
        <f t="shared" si="1"/>
        <v>PAH607</v>
      </c>
      <c r="C20" s="5" t="str">
        <f>IF(ISNA(VLOOKUP(A20&amp;D20,VCEPReports,4,FALSE)),"",VLOOKUP(A20&amp;D20,VCEPReports,4,FALSE))</f>
        <v/>
      </c>
      <c r="D20" s="5">
        <v>607</v>
      </c>
      <c r="E20" s="5" t="s">
        <v>3</v>
      </c>
      <c r="F20" s="6">
        <v>43374</v>
      </c>
      <c r="G20" s="5" t="s">
        <v>45</v>
      </c>
      <c r="H20" s="5" t="s">
        <v>5</v>
      </c>
      <c r="I20" s="5" t="s">
        <v>6</v>
      </c>
      <c r="J20" s="5" t="s">
        <v>0</v>
      </c>
      <c r="K20" s="5" t="s">
        <v>1</v>
      </c>
      <c r="L20" s="5" t="s">
        <v>2</v>
      </c>
      <c r="M20" s="5" t="s">
        <v>913</v>
      </c>
      <c r="N20" s="5" t="s">
        <v>46</v>
      </c>
      <c r="O20" s="5" t="s">
        <v>8</v>
      </c>
      <c r="P20" s="5" t="s">
        <v>9</v>
      </c>
      <c r="XFD20"/>
    </row>
    <row r="21" spans="1:16 16384:16384" s="5" customFormat="1">
      <c r="A21" s="5" t="str">
        <f t="shared" si="0"/>
        <v>PAH</v>
      </c>
      <c r="B21" s="5" t="str">
        <f t="shared" si="1"/>
        <v>PAH610</v>
      </c>
      <c r="C21" s="5" t="str">
        <f>IF(ISNA(VLOOKUP(A21&amp;D21,VCEPReports,4,FALSE)),"",VLOOKUP(A21&amp;D21,VCEPReports,4,FALSE))</f>
        <v/>
      </c>
      <c r="D21" s="5">
        <v>610</v>
      </c>
      <c r="E21" s="5" t="s">
        <v>3</v>
      </c>
      <c r="F21" s="6">
        <v>43317</v>
      </c>
      <c r="G21" s="5" t="s">
        <v>47</v>
      </c>
      <c r="H21" s="5" t="s">
        <v>5</v>
      </c>
      <c r="I21" s="5" t="s">
        <v>6</v>
      </c>
      <c r="J21" s="5" t="s">
        <v>0</v>
      </c>
      <c r="K21" s="5" t="s">
        <v>1</v>
      </c>
      <c r="L21" s="5" t="s">
        <v>2</v>
      </c>
      <c r="M21" s="5" t="s">
        <v>913</v>
      </c>
      <c r="N21" s="5" t="s">
        <v>48</v>
      </c>
      <c r="O21" s="5" t="s">
        <v>8</v>
      </c>
      <c r="P21" s="5" t="s">
        <v>9</v>
      </c>
      <c r="XFD21"/>
    </row>
    <row r="22" spans="1:16 16384:16384" s="5" customFormat="1">
      <c r="A22" s="5" t="str">
        <f t="shared" si="0"/>
        <v>PAH</v>
      </c>
      <c r="B22" s="5" t="str">
        <f t="shared" si="1"/>
        <v>PAH612</v>
      </c>
      <c r="C22" s="5" t="str">
        <f>IF(ISNA(VLOOKUP(A22&amp;D22,VCEPReports,4,FALSE)),"",VLOOKUP(A22&amp;D22,VCEPReports,4,FALSE))</f>
        <v/>
      </c>
      <c r="D22" s="5">
        <v>612</v>
      </c>
      <c r="E22" s="5" t="s">
        <v>3</v>
      </c>
      <c r="F22" s="6">
        <v>43317</v>
      </c>
      <c r="G22" s="5" t="s">
        <v>49</v>
      </c>
      <c r="H22" s="5" t="s">
        <v>5</v>
      </c>
      <c r="I22" s="5" t="s">
        <v>6</v>
      </c>
      <c r="J22" s="5" t="s">
        <v>0</v>
      </c>
      <c r="K22" s="5" t="s">
        <v>1</v>
      </c>
      <c r="L22" s="5" t="s">
        <v>2</v>
      </c>
      <c r="M22" s="5" t="s">
        <v>913</v>
      </c>
      <c r="N22" s="5" t="s">
        <v>50</v>
      </c>
      <c r="O22" s="5" t="s">
        <v>8</v>
      </c>
      <c r="P22" s="5" t="s">
        <v>9</v>
      </c>
      <c r="XFD22"/>
    </row>
    <row r="23" spans="1:16 16384:16384" s="5" customFormat="1">
      <c r="A23" s="5" t="str">
        <f t="shared" si="0"/>
        <v>PAH</v>
      </c>
      <c r="B23" s="5" t="str">
        <f t="shared" si="1"/>
        <v>PAH617</v>
      </c>
      <c r="C23" s="5" t="str">
        <f>IF(ISNA(VLOOKUP(A23&amp;D23,VCEPReports,4,FALSE)),"",VLOOKUP(A23&amp;D23,VCEPReports,4,FALSE))</f>
        <v/>
      </c>
      <c r="D23" s="5">
        <v>617</v>
      </c>
      <c r="E23" s="5" t="s">
        <v>3</v>
      </c>
      <c r="F23" s="6">
        <v>43324</v>
      </c>
      <c r="G23" s="5" t="s">
        <v>51</v>
      </c>
      <c r="H23" s="5" t="s">
        <v>5</v>
      </c>
      <c r="I23" s="5" t="s">
        <v>6</v>
      </c>
      <c r="J23" s="5" t="s">
        <v>0</v>
      </c>
      <c r="K23" s="5" t="s">
        <v>1</v>
      </c>
      <c r="L23" s="5" t="s">
        <v>2</v>
      </c>
      <c r="M23" s="5" t="s">
        <v>913</v>
      </c>
      <c r="N23" s="5" t="s">
        <v>52</v>
      </c>
      <c r="O23" s="5" t="s">
        <v>8</v>
      </c>
      <c r="P23" s="5" t="s">
        <v>9</v>
      </c>
      <c r="XFD23"/>
    </row>
    <row r="24" spans="1:16 16384:16384" s="5" customFormat="1">
      <c r="A24" s="5" t="str">
        <f t="shared" si="0"/>
        <v>PAH</v>
      </c>
      <c r="B24" s="5" t="str">
        <f t="shared" si="1"/>
        <v>PAH618</v>
      </c>
      <c r="C24" s="5" t="str">
        <f>IF(ISNA(VLOOKUP(A24&amp;D24,VCEPReports,4,FALSE)),"",VLOOKUP(A24&amp;D24,VCEPReports,4,FALSE))</f>
        <v/>
      </c>
      <c r="D24" s="5">
        <v>618</v>
      </c>
      <c r="E24" s="5" t="s">
        <v>3</v>
      </c>
      <c r="F24" s="6">
        <v>43322</v>
      </c>
      <c r="G24" s="5" t="s">
        <v>53</v>
      </c>
      <c r="H24" s="5" t="s">
        <v>5</v>
      </c>
      <c r="I24" s="5" t="s">
        <v>6</v>
      </c>
      <c r="J24" s="5" t="s">
        <v>0</v>
      </c>
      <c r="K24" s="5" t="s">
        <v>1</v>
      </c>
      <c r="L24" s="5" t="s">
        <v>2</v>
      </c>
      <c r="M24" s="5" t="s">
        <v>913</v>
      </c>
      <c r="N24" s="5" t="s">
        <v>54</v>
      </c>
      <c r="O24" s="5" t="s">
        <v>8</v>
      </c>
      <c r="P24" s="5" t="s">
        <v>9</v>
      </c>
      <c r="XFD24"/>
    </row>
    <row r="25" spans="1:16 16384:16384" s="5" customFormat="1">
      <c r="A25" s="5" t="str">
        <f t="shared" si="0"/>
        <v>PAH</v>
      </c>
      <c r="B25" s="5" t="str">
        <f t="shared" si="1"/>
        <v>PAH619</v>
      </c>
      <c r="C25" s="5" t="str">
        <f>IF(ISNA(VLOOKUP(A25&amp;D25,VCEPReports,4,FALSE)),"",VLOOKUP(A25&amp;D25,VCEPReports,4,FALSE))</f>
        <v/>
      </c>
      <c r="D25" s="5">
        <v>619</v>
      </c>
      <c r="E25" s="5" t="s">
        <v>3</v>
      </c>
      <c r="F25" s="6">
        <v>43317</v>
      </c>
      <c r="G25" s="5" t="s">
        <v>55</v>
      </c>
      <c r="H25" s="5" t="s">
        <v>5</v>
      </c>
      <c r="I25" s="5" t="s">
        <v>6</v>
      </c>
      <c r="J25" s="5" t="s">
        <v>0</v>
      </c>
      <c r="K25" s="5" t="s">
        <v>1</v>
      </c>
      <c r="L25" s="5" t="s">
        <v>2</v>
      </c>
      <c r="M25" s="5" t="s">
        <v>913</v>
      </c>
      <c r="N25" s="5" t="s">
        <v>56</v>
      </c>
      <c r="O25" s="5" t="s">
        <v>8</v>
      </c>
      <c r="P25" s="5" t="s">
        <v>9</v>
      </c>
      <c r="XFD25"/>
    </row>
    <row r="26" spans="1:16 16384:16384" s="5" customFormat="1">
      <c r="A26" s="5" t="str">
        <f t="shared" si="0"/>
        <v>PAH</v>
      </c>
      <c r="B26" s="5" t="str">
        <f t="shared" si="1"/>
        <v>PAH625</v>
      </c>
      <c r="C26" s="5" t="str">
        <f>IF(ISNA(VLOOKUP(A26&amp;D26,VCEPReports,4,FALSE)),"",VLOOKUP(A26&amp;D26,VCEPReports,4,FALSE))</f>
        <v/>
      </c>
      <c r="D26" s="5">
        <v>625</v>
      </c>
      <c r="E26" s="5" t="s">
        <v>3</v>
      </c>
      <c r="F26" s="6">
        <v>43374</v>
      </c>
      <c r="G26" s="5" t="s">
        <v>57</v>
      </c>
      <c r="H26" s="5" t="s">
        <v>5</v>
      </c>
      <c r="I26" s="5" t="s">
        <v>6</v>
      </c>
      <c r="J26" s="5" t="s">
        <v>0</v>
      </c>
      <c r="K26" s="5" t="s">
        <v>1</v>
      </c>
      <c r="L26" s="5" t="s">
        <v>2</v>
      </c>
      <c r="M26" s="5" t="s">
        <v>913</v>
      </c>
      <c r="N26" s="5" t="s">
        <v>58</v>
      </c>
      <c r="O26" s="5" t="s">
        <v>8</v>
      </c>
      <c r="P26" s="5" t="s">
        <v>9</v>
      </c>
      <c r="XFD26"/>
    </row>
    <row r="27" spans="1:16 16384:16384" s="5" customFormat="1">
      <c r="A27" s="5" t="str">
        <f t="shared" si="0"/>
        <v>PAH</v>
      </c>
      <c r="B27" s="5" t="str">
        <f t="shared" si="1"/>
        <v>PAH628</v>
      </c>
      <c r="C27" s="5" t="str">
        <f>IF(ISNA(VLOOKUP(A27&amp;D27,VCEPReports,4,FALSE)),"",VLOOKUP(A27&amp;D27,VCEPReports,4,FALSE))</f>
        <v/>
      </c>
      <c r="D27" s="5">
        <v>628</v>
      </c>
      <c r="E27" s="5" t="s">
        <v>3</v>
      </c>
      <c r="F27" s="6">
        <v>43374</v>
      </c>
      <c r="G27" s="5" t="s">
        <v>59</v>
      </c>
      <c r="H27" s="5" t="s">
        <v>5</v>
      </c>
      <c r="I27" s="5" t="s">
        <v>6</v>
      </c>
      <c r="J27" s="5" t="s">
        <v>0</v>
      </c>
      <c r="K27" s="5" t="s">
        <v>1</v>
      </c>
      <c r="L27" s="5" t="s">
        <v>2</v>
      </c>
      <c r="M27" s="5" t="s">
        <v>913</v>
      </c>
      <c r="N27" s="5" t="s">
        <v>60</v>
      </c>
      <c r="O27" s="5" t="s">
        <v>8</v>
      </c>
      <c r="P27" s="5" t="s">
        <v>9</v>
      </c>
      <c r="XFD27"/>
    </row>
    <row r="28" spans="1:16 16384:16384" s="5" customFormat="1">
      <c r="A28" s="5" t="str">
        <f t="shared" si="0"/>
        <v>PAH</v>
      </c>
      <c r="B28" s="5" t="str">
        <f t="shared" si="1"/>
        <v>PAH632</v>
      </c>
      <c r="C28" s="5" t="str">
        <f>IF(ISNA(VLOOKUP(A28&amp;D28,VCEPReports,4,FALSE)),"",VLOOKUP(A28&amp;D28,VCEPReports,4,FALSE))</f>
        <v/>
      </c>
      <c r="D28" s="5">
        <v>632</v>
      </c>
      <c r="E28" s="5" t="s">
        <v>3</v>
      </c>
      <c r="F28" s="6">
        <v>43322</v>
      </c>
      <c r="G28" s="5" t="s">
        <v>61</v>
      </c>
      <c r="H28" s="5" t="s">
        <v>5</v>
      </c>
      <c r="I28" s="5" t="s">
        <v>6</v>
      </c>
      <c r="J28" s="5" t="s">
        <v>0</v>
      </c>
      <c r="K28" s="5" t="s">
        <v>1</v>
      </c>
      <c r="L28" s="5" t="s">
        <v>2</v>
      </c>
      <c r="M28" s="5" t="s">
        <v>913</v>
      </c>
      <c r="N28" s="5" t="s">
        <v>62</v>
      </c>
      <c r="O28" s="5" t="s">
        <v>8</v>
      </c>
      <c r="P28" s="5" t="s">
        <v>9</v>
      </c>
      <c r="XFD28"/>
    </row>
    <row r="29" spans="1:16 16384:16384" s="5" customFormat="1">
      <c r="A29" s="5" t="str">
        <f t="shared" si="0"/>
        <v>PAH</v>
      </c>
      <c r="B29" s="5" t="str">
        <f t="shared" si="1"/>
        <v>PAH636</v>
      </c>
      <c r="C29" s="5" t="str">
        <f>IF(ISNA(VLOOKUP(A29&amp;D29,VCEPReports,4,FALSE)),"",VLOOKUP(A29&amp;D29,VCEPReports,4,FALSE))</f>
        <v/>
      </c>
      <c r="D29" s="5">
        <v>636</v>
      </c>
      <c r="E29" s="5" t="s">
        <v>3</v>
      </c>
      <c r="F29" s="6">
        <v>43211</v>
      </c>
      <c r="G29" s="5" t="s">
        <v>63</v>
      </c>
      <c r="H29" s="5" t="s">
        <v>5</v>
      </c>
      <c r="I29" s="5" t="s">
        <v>6</v>
      </c>
      <c r="J29" s="5" t="s">
        <v>0</v>
      </c>
      <c r="K29" s="5" t="s">
        <v>1</v>
      </c>
      <c r="L29" s="5" t="s">
        <v>2</v>
      </c>
      <c r="M29" s="5" t="s">
        <v>913</v>
      </c>
      <c r="N29" s="5" t="s">
        <v>64</v>
      </c>
      <c r="O29" s="5" t="s">
        <v>8</v>
      </c>
      <c r="P29" s="5" t="s">
        <v>9</v>
      </c>
      <c r="XFD29"/>
    </row>
    <row r="30" spans="1:16 16384:16384" s="5" customFormat="1">
      <c r="A30" s="5" t="str">
        <f t="shared" si="0"/>
        <v>HL</v>
      </c>
      <c r="B30" s="5" t="str">
        <f t="shared" si="1"/>
        <v>HL2353</v>
      </c>
      <c r="C30" s="5" t="str">
        <f>IF(ISNA(VLOOKUP(A30&amp;D30,VCEPReports,4,FALSE)),"",VLOOKUP(A30&amp;D30,VCEPReports,4,FALSE))</f>
        <v/>
      </c>
      <c r="D30" s="5">
        <v>2353</v>
      </c>
      <c r="E30" s="5" t="s">
        <v>3</v>
      </c>
      <c r="F30" s="6">
        <v>43368</v>
      </c>
      <c r="G30" s="5" t="s">
        <v>66</v>
      </c>
      <c r="H30" s="5" t="s">
        <v>67</v>
      </c>
      <c r="I30" s="5" t="s">
        <v>68</v>
      </c>
      <c r="J30" s="5" t="s">
        <v>0</v>
      </c>
      <c r="K30" s="5" t="s">
        <v>1</v>
      </c>
      <c r="L30" s="5" t="s">
        <v>2</v>
      </c>
      <c r="M30" s="5" t="s">
        <v>914</v>
      </c>
      <c r="N30" s="5" t="s">
        <v>69</v>
      </c>
      <c r="O30" s="5" t="s">
        <v>70</v>
      </c>
      <c r="P30" s="5" t="s">
        <v>9</v>
      </c>
      <c r="XFD30"/>
    </row>
    <row r="31" spans="1:16 16384:16384" s="5" customFormat="1">
      <c r="A31" s="5" t="str">
        <f t="shared" si="0"/>
        <v>HL</v>
      </c>
      <c r="B31" s="5" t="str">
        <f t="shared" si="1"/>
        <v>HL4835</v>
      </c>
      <c r="C31" s="5" t="str">
        <f>IF(ISNA(VLOOKUP(A31&amp;D31,VCEPReports,4,FALSE)),"",VLOOKUP(A31&amp;D31,VCEPReports,4,FALSE))</f>
        <v/>
      </c>
      <c r="D31" s="5">
        <v>4835</v>
      </c>
      <c r="E31" s="5" t="s">
        <v>3</v>
      </c>
      <c r="F31" s="6">
        <v>43362</v>
      </c>
      <c r="G31" s="5" t="s">
        <v>71</v>
      </c>
      <c r="H31" s="5" t="s">
        <v>72</v>
      </c>
      <c r="I31" s="5" t="s">
        <v>73</v>
      </c>
      <c r="J31" s="5" t="s">
        <v>0</v>
      </c>
      <c r="K31" s="5" t="s">
        <v>1</v>
      </c>
      <c r="L31" s="5" t="s">
        <v>2</v>
      </c>
      <c r="M31" s="5" t="s">
        <v>914</v>
      </c>
      <c r="N31" s="5" t="s">
        <v>74</v>
      </c>
      <c r="O31" s="5" t="s">
        <v>75</v>
      </c>
      <c r="P31" s="5" t="s">
        <v>9</v>
      </c>
      <c r="XFD31"/>
    </row>
    <row r="32" spans="1:16 16384:16384" s="5" customFormat="1">
      <c r="A32" s="5" t="str">
        <f t="shared" si="0"/>
        <v>HL</v>
      </c>
      <c r="B32" s="5" t="str">
        <f t="shared" si="1"/>
        <v>HL4840</v>
      </c>
      <c r="C32" s="5" t="str">
        <f>IF(ISNA(VLOOKUP(A32&amp;D32,VCEPReports,4,FALSE)),"",VLOOKUP(A32&amp;D32,VCEPReports,4,FALSE))</f>
        <v/>
      </c>
      <c r="D32" s="5">
        <v>4840</v>
      </c>
      <c r="E32" s="5" t="s">
        <v>3</v>
      </c>
      <c r="F32" s="6">
        <v>43363</v>
      </c>
      <c r="G32" s="5" t="s">
        <v>76</v>
      </c>
      <c r="H32" s="5" t="s">
        <v>72</v>
      </c>
      <c r="I32" s="5" t="s">
        <v>73</v>
      </c>
      <c r="J32" s="5" t="s">
        <v>0</v>
      </c>
      <c r="K32" s="5" t="s">
        <v>1</v>
      </c>
      <c r="L32" s="5" t="s">
        <v>2</v>
      </c>
      <c r="M32" s="5" t="s">
        <v>914</v>
      </c>
      <c r="N32" s="5" t="s">
        <v>77</v>
      </c>
      <c r="O32" s="5" t="s">
        <v>75</v>
      </c>
      <c r="P32" s="5" t="s">
        <v>9</v>
      </c>
      <c r="XFD32"/>
    </row>
    <row r="33" spans="1:16 16384:16384" s="5" customFormat="1">
      <c r="A33" s="5" t="str">
        <f t="shared" si="0"/>
        <v>HL</v>
      </c>
      <c r="B33" s="5" t="str">
        <f t="shared" si="1"/>
        <v>HL6241</v>
      </c>
      <c r="C33" s="5" t="str">
        <f>IF(ISNA(VLOOKUP(A33&amp;D33,VCEPReports,4,FALSE)),"",VLOOKUP(A33&amp;D33,VCEPReports,4,FALSE))</f>
        <v/>
      </c>
      <c r="D33" s="5">
        <v>6241</v>
      </c>
      <c r="E33" s="5" t="s">
        <v>3</v>
      </c>
      <c r="F33" s="6">
        <v>43354</v>
      </c>
      <c r="G33" s="5" t="s">
        <v>78</v>
      </c>
      <c r="H33" s="5" t="s">
        <v>79</v>
      </c>
      <c r="I33" s="5" t="s">
        <v>80</v>
      </c>
      <c r="J33" s="5" t="s">
        <v>0</v>
      </c>
      <c r="K33" s="5" t="s">
        <v>1</v>
      </c>
      <c r="L33" s="5" t="s">
        <v>2</v>
      </c>
      <c r="M33" s="5" t="s">
        <v>914</v>
      </c>
      <c r="N33" s="5" t="s">
        <v>81</v>
      </c>
      <c r="O33" s="5" t="s">
        <v>82</v>
      </c>
      <c r="P33" s="5" t="s">
        <v>9</v>
      </c>
      <c r="XFD33"/>
    </row>
    <row r="34" spans="1:16 16384:16384" s="5" customFormat="1">
      <c r="A34" s="5" t="str">
        <f t="shared" si="0"/>
        <v>HL</v>
      </c>
      <c r="B34" s="5" t="str">
        <f t="shared" si="1"/>
        <v>HL6611</v>
      </c>
      <c r="C34" s="5" t="str">
        <f>IF(ISNA(VLOOKUP(A34&amp;D34,VCEPReports,4,FALSE)),"",VLOOKUP(A34&amp;D34,VCEPReports,4,FALSE))</f>
        <v/>
      </c>
      <c r="D34" s="5">
        <v>6611</v>
      </c>
      <c r="E34" s="5" t="s">
        <v>3</v>
      </c>
      <c r="F34" s="6">
        <v>43362</v>
      </c>
      <c r="G34" s="5" t="s">
        <v>83</v>
      </c>
      <c r="H34" s="5" t="s">
        <v>79</v>
      </c>
      <c r="I34" s="5" t="s">
        <v>80</v>
      </c>
      <c r="J34" s="5" t="s">
        <v>0</v>
      </c>
      <c r="K34" s="5" t="s">
        <v>1</v>
      </c>
      <c r="L34" s="5" t="s">
        <v>2</v>
      </c>
      <c r="M34" s="5" t="s">
        <v>914</v>
      </c>
      <c r="N34" s="5" t="s">
        <v>84</v>
      </c>
      <c r="O34" s="5" t="s">
        <v>85</v>
      </c>
      <c r="P34" s="5" t="s">
        <v>9</v>
      </c>
      <c r="XFD34"/>
    </row>
    <row r="35" spans="1:16 16384:16384" s="5" customFormat="1">
      <c r="A35" s="5" t="str">
        <f t="shared" si="0"/>
        <v>HL</v>
      </c>
      <c r="B35" s="5" t="str">
        <f t="shared" si="1"/>
        <v>HL6613</v>
      </c>
      <c r="C35" s="5" t="str">
        <f>IF(ISNA(VLOOKUP(A35&amp;D35,VCEPReports,4,FALSE)),"",VLOOKUP(A35&amp;D35,VCEPReports,4,FALSE))</f>
        <v/>
      </c>
      <c r="D35" s="5">
        <v>6613</v>
      </c>
      <c r="E35" s="5" t="s">
        <v>86</v>
      </c>
      <c r="F35" s="6">
        <v>43360</v>
      </c>
      <c r="G35" s="5" t="s">
        <v>87</v>
      </c>
      <c r="H35" s="5" t="s">
        <v>79</v>
      </c>
      <c r="I35" s="5" t="s">
        <v>80</v>
      </c>
      <c r="J35" s="5" t="s">
        <v>0</v>
      </c>
      <c r="K35" s="5" t="s">
        <v>1</v>
      </c>
      <c r="L35" s="5" t="s">
        <v>2</v>
      </c>
      <c r="M35" s="5" t="s">
        <v>914</v>
      </c>
      <c r="N35" s="5" t="s">
        <v>88</v>
      </c>
      <c r="O35" s="5" t="s">
        <v>85</v>
      </c>
      <c r="P35" s="5" t="s">
        <v>9</v>
      </c>
      <c r="XFD35"/>
    </row>
    <row r="36" spans="1:16 16384:16384" s="5" customFormat="1">
      <c r="A36" s="5" t="str">
        <f t="shared" si="0"/>
        <v>RAS</v>
      </c>
      <c r="B36" s="5" t="str">
        <f t="shared" si="1"/>
        <v>RAS6821</v>
      </c>
      <c r="C36" s="5" t="str">
        <f>IF(ISNA(VLOOKUP(A36&amp;D36,VCEPReports,4,FALSE)),"",VLOOKUP(A36&amp;D36,VCEPReports,4,FALSE))</f>
        <v/>
      </c>
      <c r="D36" s="5">
        <v>6821</v>
      </c>
      <c r="E36" s="5" t="s">
        <v>3</v>
      </c>
      <c r="F36" s="6">
        <v>42828</v>
      </c>
      <c r="G36" s="5" t="s">
        <v>89</v>
      </c>
      <c r="H36" s="5" t="s">
        <v>90</v>
      </c>
      <c r="I36" s="5" t="s">
        <v>91</v>
      </c>
      <c r="J36" s="5" t="s">
        <v>0</v>
      </c>
      <c r="K36" s="5" t="s">
        <v>1</v>
      </c>
      <c r="L36" s="5" t="s">
        <v>2</v>
      </c>
      <c r="M36" s="5" t="s">
        <v>915</v>
      </c>
      <c r="N36" s="5" t="s">
        <v>92</v>
      </c>
      <c r="O36" s="5" t="s">
        <v>93</v>
      </c>
      <c r="P36" s="5" t="s">
        <v>9</v>
      </c>
      <c r="XFD36"/>
    </row>
    <row r="37" spans="1:16 16384:16384" s="5" customFormat="1">
      <c r="A37" s="5" t="str">
        <f t="shared" si="0"/>
        <v>PTEN</v>
      </c>
      <c r="B37" s="5" t="str">
        <f t="shared" si="1"/>
        <v>PTEN7814</v>
      </c>
      <c r="C37" s="5" t="str">
        <f>IF(ISNA(VLOOKUP(A37&amp;D37,VCEPReports,4,FALSE)),"",VLOOKUP(A37&amp;D37,VCEPReports,4,FALSE))</f>
        <v>c8a8caba-2251-491c-8758-14da15b51065</v>
      </c>
      <c r="D37" s="5">
        <v>7814</v>
      </c>
      <c r="E37" s="5" t="s">
        <v>3</v>
      </c>
      <c r="F37" s="6">
        <v>43403</v>
      </c>
      <c r="G37" s="5" t="s">
        <v>916</v>
      </c>
      <c r="H37" s="5" t="s">
        <v>95</v>
      </c>
      <c r="I37" s="5" t="s">
        <v>96</v>
      </c>
      <c r="J37" s="5" t="s">
        <v>0</v>
      </c>
      <c r="K37" s="5" t="s">
        <v>1</v>
      </c>
      <c r="L37" s="5" t="s">
        <v>2</v>
      </c>
      <c r="M37" s="5" t="s">
        <v>917</v>
      </c>
      <c r="N37" s="5" t="s">
        <v>918</v>
      </c>
      <c r="O37" s="5" t="s">
        <v>98</v>
      </c>
      <c r="P37" s="5" t="s">
        <v>9</v>
      </c>
      <c r="XFD37"/>
    </row>
    <row r="38" spans="1:16 16384:16384" s="5" customFormat="1">
      <c r="A38" s="5" t="str">
        <f t="shared" si="0"/>
        <v>PTEN</v>
      </c>
      <c r="B38" s="5" t="str">
        <f t="shared" si="1"/>
        <v>PTEN7815</v>
      </c>
      <c r="C38" s="5" t="str">
        <f>IF(ISNA(VLOOKUP(A38&amp;D38,VCEPReports,4,FALSE)),"",VLOOKUP(A38&amp;D38,VCEPReports,4,FALSE))</f>
        <v>67ade3e6-3038-4022-903b-9caf929577ba</v>
      </c>
      <c r="D38" s="5">
        <v>7815</v>
      </c>
      <c r="E38" s="5" t="s">
        <v>24</v>
      </c>
      <c r="F38" s="6">
        <v>43196</v>
      </c>
      <c r="G38" s="5" t="s">
        <v>919</v>
      </c>
      <c r="H38" s="5" t="s">
        <v>95</v>
      </c>
      <c r="I38" s="5" t="s">
        <v>96</v>
      </c>
      <c r="J38" s="5" t="s">
        <v>0</v>
      </c>
      <c r="K38" s="5" t="s">
        <v>1</v>
      </c>
      <c r="L38" s="5" t="s">
        <v>2</v>
      </c>
      <c r="M38" s="5" t="s">
        <v>917</v>
      </c>
      <c r="N38" s="5" t="s">
        <v>920</v>
      </c>
      <c r="O38" s="5" t="s">
        <v>98</v>
      </c>
      <c r="P38" s="5" t="s">
        <v>9</v>
      </c>
      <c r="XFD38"/>
    </row>
    <row r="39" spans="1:16 16384:16384" s="5" customFormat="1">
      <c r="A39" s="5" t="str">
        <f t="shared" si="0"/>
        <v>PTEN</v>
      </c>
      <c r="B39" s="5" t="str">
        <f t="shared" si="1"/>
        <v>PTEN7816</v>
      </c>
      <c r="C39" s="5" t="str">
        <f>IF(ISNA(VLOOKUP(A39&amp;D39,VCEPReports,4,FALSE)),"",VLOOKUP(A39&amp;D39,VCEPReports,4,FALSE))</f>
        <v>4ed5aa0a-d183-4c08-b6f6-23ffb9904a78</v>
      </c>
      <c r="D39" s="5">
        <v>7816</v>
      </c>
      <c r="E39" s="5" t="s">
        <v>24</v>
      </c>
      <c r="F39" s="6">
        <v>43196</v>
      </c>
      <c r="G39" s="5" t="s">
        <v>921</v>
      </c>
      <c r="H39" s="5" t="s">
        <v>95</v>
      </c>
      <c r="I39" s="5" t="s">
        <v>96</v>
      </c>
      <c r="J39" s="5" t="s">
        <v>0</v>
      </c>
      <c r="K39" s="5" t="s">
        <v>1</v>
      </c>
      <c r="L39" s="5" t="s">
        <v>2</v>
      </c>
      <c r="M39" s="5" t="s">
        <v>917</v>
      </c>
      <c r="N39" s="5" t="s">
        <v>922</v>
      </c>
      <c r="O39" s="5" t="s">
        <v>98</v>
      </c>
      <c r="P39" s="5" t="s">
        <v>9</v>
      </c>
      <c r="XFD39"/>
    </row>
    <row r="40" spans="1:16 16384:16384" s="5" customFormat="1">
      <c r="A40" s="5" t="str">
        <f t="shared" si="0"/>
        <v>PTEN</v>
      </c>
      <c r="B40" s="5" t="str">
        <f t="shared" si="1"/>
        <v>PTEN7823</v>
      </c>
      <c r="C40" s="5" t="str">
        <f>IF(ISNA(VLOOKUP(A40&amp;D40,VCEPReports,4,FALSE)),"",VLOOKUP(A40&amp;D40,VCEPReports,4,FALSE))</f>
        <v>47291ab6-b17d-4e14-9acd-faae6fe9ec1e</v>
      </c>
      <c r="D40" s="5">
        <v>7823</v>
      </c>
      <c r="E40" s="5" t="s">
        <v>3</v>
      </c>
      <c r="F40" s="6">
        <v>43196</v>
      </c>
      <c r="G40" s="5" t="s">
        <v>923</v>
      </c>
      <c r="H40" s="5" t="s">
        <v>95</v>
      </c>
      <c r="I40" s="5" t="s">
        <v>96</v>
      </c>
      <c r="J40" s="5" t="s">
        <v>0</v>
      </c>
      <c r="K40" s="5" t="s">
        <v>1</v>
      </c>
      <c r="L40" s="5" t="s">
        <v>2</v>
      </c>
      <c r="M40" s="5" t="s">
        <v>917</v>
      </c>
      <c r="N40" s="5" t="s">
        <v>924</v>
      </c>
      <c r="O40" s="5" t="s">
        <v>98</v>
      </c>
      <c r="P40" s="5" t="s">
        <v>9</v>
      </c>
      <c r="XFD40"/>
    </row>
    <row r="41" spans="1:16 16384:16384" s="5" customFormat="1">
      <c r="A41" s="5" t="str">
        <f t="shared" si="0"/>
        <v>PTEN</v>
      </c>
      <c r="B41" s="5" t="str">
        <f t="shared" si="1"/>
        <v>PTEN7824</v>
      </c>
      <c r="C41" s="5" t="str">
        <f>IF(ISNA(VLOOKUP(A41&amp;D41,VCEPReports,4,FALSE)),"",VLOOKUP(A41&amp;D41,VCEPReports,4,FALSE))</f>
        <v>ebef4811-dc36-4625-bd07-ea516d1cad7e</v>
      </c>
      <c r="D41" s="5">
        <v>7824</v>
      </c>
      <c r="E41" s="5" t="s">
        <v>3</v>
      </c>
      <c r="F41" s="6">
        <v>43196</v>
      </c>
      <c r="G41" s="5" t="s">
        <v>925</v>
      </c>
      <c r="H41" s="5" t="s">
        <v>95</v>
      </c>
      <c r="I41" s="5" t="s">
        <v>96</v>
      </c>
      <c r="J41" s="5" t="s">
        <v>0</v>
      </c>
      <c r="K41" s="5" t="s">
        <v>1</v>
      </c>
      <c r="L41" s="5" t="s">
        <v>2</v>
      </c>
      <c r="M41" s="5" t="s">
        <v>917</v>
      </c>
      <c r="N41" s="5" t="s">
        <v>926</v>
      </c>
      <c r="O41" s="5" t="s">
        <v>98</v>
      </c>
      <c r="P41" s="5" t="s">
        <v>9</v>
      </c>
      <c r="XFD41"/>
    </row>
    <row r="42" spans="1:16 16384:16384" s="5" customFormat="1">
      <c r="A42" s="5" t="str">
        <f t="shared" si="0"/>
        <v>PTEN</v>
      </c>
      <c r="B42" s="5" t="str">
        <f t="shared" si="1"/>
        <v>PTEN7828</v>
      </c>
      <c r="C42" s="5" t="str">
        <f>IF(ISNA(VLOOKUP(A42&amp;D42,VCEPReports,4,FALSE)),"",VLOOKUP(A42&amp;D42,VCEPReports,4,FALSE))</f>
        <v>4284ff17-816f-4321-a0b3-e3baeb0afc95</v>
      </c>
      <c r="D42" s="5">
        <v>7828</v>
      </c>
      <c r="E42" s="5" t="s">
        <v>3</v>
      </c>
      <c r="F42" s="6">
        <v>43196</v>
      </c>
      <c r="G42" s="5" t="s">
        <v>927</v>
      </c>
      <c r="H42" s="5" t="s">
        <v>95</v>
      </c>
      <c r="I42" s="5" t="s">
        <v>96</v>
      </c>
      <c r="J42" s="5" t="s">
        <v>0</v>
      </c>
      <c r="K42" s="5" t="s">
        <v>1</v>
      </c>
      <c r="L42" s="5" t="s">
        <v>2</v>
      </c>
      <c r="M42" s="5" t="s">
        <v>917</v>
      </c>
      <c r="N42" s="5" t="s">
        <v>928</v>
      </c>
      <c r="O42" s="5" t="s">
        <v>98</v>
      </c>
      <c r="P42" s="5" t="s">
        <v>9</v>
      </c>
      <c r="XFD42"/>
    </row>
    <row r="43" spans="1:16 16384:16384" s="5" customFormat="1">
      <c r="A43" s="5" t="str">
        <f t="shared" si="0"/>
        <v>PTEN</v>
      </c>
      <c r="B43" s="5" t="str">
        <f t="shared" si="1"/>
        <v>PTEN7829</v>
      </c>
      <c r="C43" s="5" t="str">
        <f>IF(ISNA(VLOOKUP(A43&amp;D43,VCEPReports,4,FALSE)),"",VLOOKUP(A43&amp;D43,VCEPReports,4,FALSE))</f>
        <v>844aa93c-ba66-4b09-825a-8e5e0fb0a775</v>
      </c>
      <c r="D43" s="5">
        <v>7829</v>
      </c>
      <c r="E43" s="5" t="s">
        <v>3</v>
      </c>
      <c r="F43" s="6">
        <v>43026</v>
      </c>
      <c r="G43" s="5" t="s">
        <v>94</v>
      </c>
      <c r="H43" s="5" t="s">
        <v>95</v>
      </c>
      <c r="I43" s="5" t="s">
        <v>96</v>
      </c>
      <c r="J43" s="5" t="s">
        <v>0</v>
      </c>
      <c r="K43" s="5" t="s">
        <v>1</v>
      </c>
      <c r="L43" s="5" t="s">
        <v>2</v>
      </c>
      <c r="M43" s="5" t="s">
        <v>917</v>
      </c>
      <c r="N43" s="5" t="s">
        <v>97</v>
      </c>
      <c r="O43" s="5" t="s">
        <v>98</v>
      </c>
      <c r="P43" s="5" t="s">
        <v>9</v>
      </c>
      <c r="XFD43"/>
    </row>
    <row r="44" spans="1:16 16384:16384" s="5" customFormat="1">
      <c r="A44" s="5" t="str">
        <f t="shared" si="0"/>
        <v>PTEN</v>
      </c>
      <c r="B44" s="5" t="str">
        <f t="shared" si="1"/>
        <v>PTEN7831</v>
      </c>
      <c r="C44" s="5" t="str">
        <f>IF(ISNA(VLOOKUP(A44&amp;D44,VCEPReports,4,FALSE)),"",VLOOKUP(A44&amp;D44,VCEPReports,4,FALSE))</f>
        <v>3026a8af-72dd-459e-be90-922c578fc8f6</v>
      </c>
      <c r="D44" s="5">
        <v>7831</v>
      </c>
      <c r="E44" s="5" t="s">
        <v>24</v>
      </c>
      <c r="F44" s="6">
        <v>43196</v>
      </c>
      <c r="G44" s="5" t="s">
        <v>929</v>
      </c>
      <c r="H44" s="5" t="s">
        <v>95</v>
      </c>
      <c r="I44" s="5" t="s">
        <v>96</v>
      </c>
      <c r="J44" s="5" t="s">
        <v>0</v>
      </c>
      <c r="K44" s="5" t="s">
        <v>1</v>
      </c>
      <c r="L44" s="5" t="s">
        <v>2</v>
      </c>
      <c r="M44" s="5" t="s">
        <v>917</v>
      </c>
      <c r="N44" s="5" t="s">
        <v>930</v>
      </c>
      <c r="O44" s="5" t="s">
        <v>98</v>
      </c>
      <c r="P44" s="5" t="s">
        <v>9</v>
      </c>
      <c r="XFD44"/>
    </row>
    <row r="45" spans="1:16 16384:16384" s="5" customFormat="1">
      <c r="A45" s="5" t="str">
        <f t="shared" si="0"/>
        <v>PTEN</v>
      </c>
      <c r="B45" s="5" t="str">
        <f t="shared" si="1"/>
        <v>PTEN7834</v>
      </c>
      <c r="C45" s="5" t="str">
        <f>IF(ISNA(VLOOKUP(A45&amp;D45,VCEPReports,4,FALSE)),"",VLOOKUP(A45&amp;D45,VCEPReports,4,FALSE))</f>
        <v>d7cc25c0-43b3-408c-8e19-6aab8d40a4f1</v>
      </c>
      <c r="D45" s="5">
        <v>7834</v>
      </c>
      <c r="E45" s="5" t="s">
        <v>3</v>
      </c>
      <c r="F45" s="6">
        <v>43196</v>
      </c>
      <c r="G45" s="5" t="s">
        <v>931</v>
      </c>
      <c r="H45" s="5" t="s">
        <v>95</v>
      </c>
      <c r="I45" s="5" t="s">
        <v>96</v>
      </c>
      <c r="J45" s="5" t="s">
        <v>0</v>
      </c>
      <c r="K45" s="5" t="s">
        <v>1</v>
      </c>
      <c r="L45" s="5" t="s">
        <v>2</v>
      </c>
      <c r="M45" s="5" t="s">
        <v>917</v>
      </c>
      <c r="N45" s="5" t="s">
        <v>932</v>
      </c>
      <c r="O45" s="5" t="s">
        <v>98</v>
      </c>
      <c r="P45" s="5" t="s">
        <v>9</v>
      </c>
      <c r="XFD45"/>
    </row>
    <row r="46" spans="1:16 16384:16384" s="5" customFormat="1">
      <c r="A46" s="5" t="str">
        <f t="shared" si="0"/>
        <v>PTEN</v>
      </c>
      <c r="B46" s="5" t="str">
        <f t="shared" si="1"/>
        <v>PTEN7844</v>
      </c>
      <c r="C46" s="5" t="str">
        <f>IF(ISNA(VLOOKUP(A46&amp;D46,VCEPReports,4,FALSE)),"",VLOOKUP(A46&amp;D46,VCEPReports,4,FALSE))</f>
        <v>1c091a56-7fdb-41a4-9573-e48254ef08b7</v>
      </c>
      <c r="D46" s="5">
        <v>7844</v>
      </c>
      <c r="E46" s="5" t="s">
        <v>86</v>
      </c>
      <c r="F46" s="6">
        <v>43196</v>
      </c>
      <c r="G46" s="5" t="s">
        <v>99</v>
      </c>
      <c r="H46" s="5" t="s">
        <v>95</v>
      </c>
      <c r="I46" s="5" t="s">
        <v>96</v>
      </c>
      <c r="J46" s="5" t="s">
        <v>0</v>
      </c>
      <c r="K46" s="5" t="s">
        <v>1</v>
      </c>
      <c r="L46" s="5" t="s">
        <v>2</v>
      </c>
      <c r="M46" s="5" t="s">
        <v>917</v>
      </c>
      <c r="N46" s="5" t="s">
        <v>100</v>
      </c>
      <c r="O46" s="5" t="s">
        <v>98</v>
      </c>
      <c r="P46" s="5" t="s">
        <v>9</v>
      </c>
      <c r="XFD46"/>
    </row>
    <row r="47" spans="1:16 16384:16384" s="5" customFormat="1">
      <c r="A47" s="5" t="str">
        <f t="shared" si="0"/>
        <v>RAS</v>
      </c>
      <c r="B47" s="5" t="str">
        <f t="shared" si="1"/>
        <v>RAS8272</v>
      </c>
      <c r="C47" s="5" t="str">
        <f>IF(ISNA(VLOOKUP(A47&amp;D47,VCEPReports,4,FALSE)),"",VLOOKUP(A47&amp;D47,VCEPReports,4,FALSE))</f>
        <v/>
      </c>
      <c r="D47" s="5">
        <v>8272</v>
      </c>
      <c r="E47" s="5" t="s">
        <v>3</v>
      </c>
      <c r="F47" s="6">
        <v>42864</v>
      </c>
      <c r="G47" s="5" t="s">
        <v>101</v>
      </c>
      <c r="H47" s="5" t="s">
        <v>102</v>
      </c>
      <c r="I47" s="5" t="s">
        <v>103</v>
      </c>
      <c r="J47" s="5" t="s">
        <v>0</v>
      </c>
      <c r="K47" s="5" t="s">
        <v>1</v>
      </c>
      <c r="L47" s="5" t="s">
        <v>2</v>
      </c>
      <c r="M47" s="5" t="s">
        <v>915</v>
      </c>
      <c r="N47" s="5" t="s">
        <v>104</v>
      </c>
      <c r="O47" s="5" t="s">
        <v>105</v>
      </c>
      <c r="P47" s="5" t="s">
        <v>9</v>
      </c>
      <c r="XFD47"/>
    </row>
    <row r="48" spans="1:16 16384:16384" s="5" customFormat="1">
      <c r="A48" s="5" t="str">
        <f t="shared" si="0"/>
        <v>RAS</v>
      </c>
      <c r="B48" s="5" t="str">
        <f t="shared" si="1"/>
        <v>RAS8273</v>
      </c>
      <c r="C48" s="5" t="str">
        <f>IF(ISNA(VLOOKUP(A48&amp;D48,VCEPReports,4,FALSE)),"",VLOOKUP(A48&amp;D48,VCEPReports,4,FALSE))</f>
        <v/>
      </c>
      <c r="D48" s="5">
        <v>8273</v>
      </c>
      <c r="E48" s="5" t="s">
        <v>3</v>
      </c>
      <c r="F48" s="6">
        <v>42864</v>
      </c>
      <c r="G48" s="5" t="s">
        <v>106</v>
      </c>
      <c r="H48" s="5" t="s">
        <v>102</v>
      </c>
      <c r="I48" s="5" t="s">
        <v>103</v>
      </c>
      <c r="J48" s="5" t="s">
        <v>0</v>
      </c>
      <c r="K48" s="5" t="s">
        <v>1</v>
      </c>
      <c r="L48" s="5" t="s">
        <v>2</v>
      </c>
      <c r="M48" s="5" t="s">
        <v>915</v>
      </c>
      <c r="N48" s="5" t="s">
        <v>107</v>
      </c>
      <c r="O48" s="5" t="s">
        <v>105</v>
      </c>
      <c r="P48" s="5" t="s">
        <v>9</v>
      </c>
      <c r="XFD48"/>
    </row>
    <row r="49" spans="1:16 16384:16384" s="5" customFormat="1">
      <c r="A49" s="5" t="str">
        <f t="shared" si="0"/>
        <v>RAS</v>
      </c>
      <c r="B49" s="5" t="str">
        <f t="shared" si="1"/>
        <v>RAS8274</v>
      </c>
      <c r="C49" s="5" t="str">
        <f>IF(ISNA(VLOOKUP(A49&amp;D49,VCEPReports,4,FALSE)),"",VLOOKUP(A49&amp;D49,VCEPReports,4,FALSE))</f>
        <v/>
      </c>
      <c r="D49" s="5">
        <v>8274</v>
      </c>
      <c r="E49" s="5" t="s">
        <v>24</v>
      </c>
      <c r="F49" s="6">
        <v>42864</v>
      </c>
      <c r="G49" s="5" t="s">
        <v>108</v>
      </c>
      <c r="H49" s="5" t="s">
        <v>109</v>
      </c>
      <c r="I49" s="5" t="s">
        <v>110</v>
      </c>
      <c r="J49" s="5" t="s">
        <v>0</v>
      </c>
      <c r="K49" s="5" t="s">
        <v>1</v>
      </c>
      <c r="L49" s="5" t="s">
        <v>2</v>
      </c>
      <c r="M49" s="5" t="s">
        <v>915</v>
      </c>
      <c r="N49" s="5" t="s">
        <v>111</v>
      </c>
      <c r="O49" s="5" t="s">
        <v>105</v>
      </c>
      <c r="P49" s="5" t="s">
        <v>9</v>
      </c>
      <c r="XFD49"/>
    </row>
    <row r="50" spans="1:16 16384:16384" s="5" customFormat="1">
      <c r="A50" s="5" t="str">
        <f t="shared" si="0"/>
        <v>RAS</v>
      </c>
      <c r="B50" s="5" t="str">
        <f t="shared" si="1"/>
        <v>RAS8275</v>
      </c>
      <c r="C50" s="5" t="str">
        <f>IF(ISNA(VLOOKUP(A50&amp;D50,VCEPReports,4,FALSE)),"",VLOOKUP(A50&amp;D50,VCEPReports,4,FALSE))</f>
        <v/>
      </c>
      <c r="D50" s="5">
        <v>8275</v>
      </c>
      <c r="E50" s="5" t="s">
        <v>3</v>
      </c>
      <c r="F50" s="6">
        <v>42864</v>
      </c>
      <c r="G50" s="5" t="s">
        <v>112</v>
      </c>
      <c r="H50" s="5" t="s">
        <v>102</v>
      </c>
      <c r="I50" s="5" t="s">
        <v>103</v>
      </c>
      <c r="J50" s="5" t="s">
        <v>0</v>
      </c>
      <c r="K50" s="5" t="s">
        <v>1</v>
      </c>
      <c r="L50" s="5" t="s">
        <v>2</v>
      </c>
      <c r="M50" s="5" t="s">
        <v>915</v>
      </c>
      <c r="N50" s="5" t="s">
        <v>113</v>
      </c>
      <c r="O50" s="5" t="s">
        <v>105</v>
      </c>
      <c r="P50" s="5" t="s">
        <v>9</v>
      </c>
      <c r="XFD50"/>
    </row>
    <row r="51" spans="1:16 16384:16384" s="5" customFormat="1">
      <c r="A51" s="5" t="str">
        <f t="shared" si="0"/>
        <v>RAS</v>
      </c>
      <c r="B51" s="5" t="str">
        <f t="shared" si="1"/>
        <v>RAS12586</v>
      </c>
      <c r="C51" s="5" t="str">
        <f>IF(ISNA(VLOOKUP(A51&amp;D51,VCEPReports,4,FALSE)),"",VLOOKUP(A51&amp;D51,VCEPReports,4,FALSE))</f>
        <v/>
      </c>
      <c r="D51" s="5">
        <v>12586</v>
      </c>
      <c r="E51" s="5" t="s">
        <v>3</v>
      </c>
      <c r="F51" s="6">
        <v>42828</v>
      </c>
      <c r="G51" s="5" t="s">
        <v>114</v>
      </c>
      <c r="H51" s="5" t="s">
        <v>102</v>
      </c>
      <c r="I51" s="5" t="s">
        <v>103</v>
      </c>
      <c r="J51" s="5" t="s">
        <v>0</v>
      </c>
      <c r="K51" s="5" t="s">
        <v>1</v>
      </c>
      <c r="L51" s="5" t="s">
        <v>2</v>
      </c>
      <c r="M51" s="5" t="s">
        <v>915</v>
      </c>
      <c r="N51" s="5" t="s">
        <v>115</v>
      </c>
      <c r="O51" s="5" t="s">
        <v>116</v>
      </c>
      <c r="P51" s="5" t="s">
        <v>9</v>
      </c>
      <c r="XFD51"/>
    </row>
    <row r="52" spans="1:16 16384:16384" s="5" customFormat="1">
      <c r="A52" s="5" t="str">
        <f t="shared" si="0"/>
        <v>RAS</v>
      </c>
      <c r="B52" s="5" t="str">
        <f t="shared" si="1"/>
        <v>RAS12587</v>
      </c>
      <c r="C52" s="5" t="str">
        <f>IF(ISNA(VLOOKUP(A52&amp;D52,VCEPReports,4,FALSE)),"",VLOOKUP(A52&amp;D52,VCEPReports,4,FALSE))</f>
        <v/>
      </c>
      <c r="D52" s="5">
        <v>12587</v>
      </c>
      <c r="E52" s="5" t="s">
        <v>3</v>
      </c>
      <c r="F52" s="6">
        <v>42828</v>
      </c>
      <c r="G52" s="5" t="s">
        <v>117</v>
      </c>
      <c r="H52" s="5" t="s">
        <v>118</v>
      </c>
      <c r="I52" s="5" t="s">
        <v>119</v>
      </c>
      <c r="J52" s="5" t="s">
        <v>0</v>
      </c>
      <c r="K52" s="5" t="s">
        <v>1</v>
      </c>
      <c r="L52" s="5" t="s">
        <v>2</v>
      </c>
      <c r="M52" s="5" t="s">
        <v>915</v>
      </c>
      <c r="N52" s="5" t="s">
        <v>120</v>
      </c>
      <c r="O52" s="5" t="s">
        <v>116</v>
      </c>
      <c r="P52" s="5" t="s">
        <v>9</v>
      </c>
      <c r="XFD52"/>
    </row>
    <row r="53" spans="1:16 16384:16384" s="5" customFormat="1">
      <c r="A53" s="5" t="str">
        <f t="shared" si="0"/>
        <v>RAS</v>
      </c>
      <c r="B53" s="5" t="str">
        <f t="shared" si="1"/>
        <v>RAS12588</v>
      </c>
      <c r="C53" s="5" t="str">
        <f>IF(ISNA(VLOOKUP(A53&amp;D53,VCEPReports,4,FALSE)),"",VLOOKUP(A53&amp;D53,VCEPReports,4,FALSE))</f>
        <v/>
      </c>
      <c r="D53" s="5">
        <v>12588</v>
      </c>
      <c r="E53" s="5" t="s">
        <v>3</v>
      </c>
      <c r="F53" s="6">
        <v>42828</v>
      </c>
      <c r="G53" s="5" t="s">
        <v>121</v>
      </c>
      <c r="H53" s="5" t="s">
        <v>118</v>
      </c>
      <c r="I53" s="5" t="s">
        <v>119</v>
      </c>
      <c r="J53" s="5" t="s">
        <v>0</v>
      </c>
      <c r="K53" s="5" t="s">
        <v>1</v>
      </c>
      <c r="L53" s="5" t="s">
        <v>2</v>
      </c>
      <c r="M53" s="5" t="s">
        <v>915</v>
      </c>
      <c r="N53" s="5" t="s">
        <v>122</v>
      </c>
      <c r="O53" s="5" t="s">
        <v>116</v>
      </c>
      <c r="P53" s="5" t="s">
        <v>9</v>
      </c>
      <c r="XFD53"/>
    </row>
    <row r="54" spans="1:16 16384:16384" s="5" customFormat="1">
      <c r="A54" s="5" t="str">
        <f t="shared" si="0"/>
        <v>RAS</v>
      </c>
      <c r="B54" s="5" t="str">
        <f t="shared" si="1"/>
        <v>RAS12589</v>
      </c>
      <c r="C54" s="5" t="str">
        <f>IF(ISNA(VLOOKUP(A54&amp;D54,VCEPReports,4,FALSE)),"",VLOOKUP(A54&amp;D54,VCEPReports,4,FALSE))</f>
        <v/>
      </c>
      <c r="D54" s="5">
        <v>12589</v>
      </c>
      <c r="E54" s="5" t="s">
        <v>3</v>
      </c>
      <c r="F54" s="6">
        <v>42828</v>
      </c>
      <c r="G54" s="5" t="s">
        <v>123</v>
      </c>
      <c r="H54" s="5" t="s">
        <v>118</v>
      </c>
      <c r="I54" s="5" t="s">
        <v>119</v>
      </c>
      <c r="J54" s="5" t="s">
        <v>0</v>
      </c>
      <c r="K54" s="5" t="s">
        <v>1</v>
      </c>
      <c r="L54" s="5" t="s">
        <v>2</v>
      </c>
      <c r="M54" s="5" t="s">
        <v>915</v>
      </c>
      <c r="N54" s="5" t="s">
        <v>124</v>
      </c>
      <c r="O54" s="5" t="s">
        <v>116</v>
      </c>
      <c r="P54" s="5" t="s">
        <v>9</v>
      </c>
      <c r="XFD54"/>
    </row>
    <row r="55" spans="1:16 16384:16384" s="5" customFormat="1">
      <c r="A55" s="5" t="str">
        <f t="shared" si="0"/>
        <v>RAS</v>
      </c>
      <c r="B55" s="5" t="str">
        <f t="shared" si="1"/>
        <v>RAS12594</v>
      </c>
      <c r="C55" s="5" t="str">
        <f>IF(ISNA(VLOOKUP(A55&amp;D55,VCEPReports,4,FALSE)),"",VLOOKUP(A55&amp;D55,VCEPReports,4,FALSE))</f>
        <v/>
      </c>
      <c r="D55" s="5">
        <v>12594</v>
      </c>
      <c r="E55" s="5" t="s">
        <v>3</v>
      </c>
      <c r="F55" s="6">
        <v>42828</v>
      </c>
      <c r="G55" s="5" t="s">
        <v>125</v>
      </c>
      <c r="H55" s="5" t="s">
        <v>118</v>
      </c>
      <c r="I55" s="5" t="s">
        <v>119</v>
      </c>
      <c r="J55" s="5" t="s">
        <v>0</v>
      </c>
      <c r="K55" s="5" t="s">
        <v>1</v>
      </c>
      <c r="L55" s="5" t="s">
        <v>2</v>
      </c>
      <c r="M55" s="5" t="s">
        <v>915</v>
      </c>
      <c r="N55" s="5" t="s">
        <v>126</v>
      </c>
      <c r="O55" s="5" t="s">
        <v>116</v>
      </c>
      <c r="P55" s="5" t="s">
        <v>9</v>
      </c>
      <c r="XFD55"/>
    </row>
    <row r="56" spans="1:16 16384:16384" s="5" customFormat="1">
      <c r="A56" s="5" t="str">
        <f t="shared" si="0"/>
        <v>RAS</v>
      </c>
      <c r="B56" s="5" t="str">
        <f t="shared" si="1"/>
        <v>RAS12602</v>
      </c>
      <c r="C56" s="5" t="str">
        <f>IF(ISNA(VLOOKUP(A56&amp;D56,VCEPReports,4,FALSE)),"",VLOOKUP(A56&amp;D56,VCEPReports,4,FALSE))</f>
        <v/>
      </c>
      <c r="D56" s="5">
        <v>12602</v>
      </c>
      <c r="E56" s="5" t="s">
        <v>3</v>
      </c>
      <c r="F56" s="6">
        <v>42828</v>
      </c>
      <c r="G56" s="5" t="s">
        <v>127</v>
      </c>
      <c r="H56" s="5" t="s">
        <v>128</v>
      </c>
      <c r="I56" s="5" t="s">
        <v>129</v>
      </c>
      <c r="J56" s="5" t="s">
        <v>0</v>
      </c>
      <c r="K56" s="5" t="s">
        <v>1</v>
      </c>
      <c r="L56" s="5" t="s">
        <v>2</v>
      </c>
      <c r="M56" s="5" t="s">
        <v>915</v>
      </c>
      <c r="N56" s="5" t="s">
        <v>130</v>
      </c>
      <c r="O56" s="5" t="s">
        <v>131</v>
      </c>
      <c r="P56" s="5" t="s">
        <v>9</v>
      </c>
      <c r="XFD56"/>
    </row>
    <row r="57" spans="1:16 16384:16384" s="5" customFormat="1">
      <c r="A57" s="5" t="str">
        <f t="shared" si="0"/>
        <v>RAS</v>
      </c>
      <c r="B57" s="5" t="str">
        <f t="shared" si="1"/>
        <v>RAS12605</v>
      </c>
      <c r="C57" s="5" t="str">
        <f>IF(ISNA(VLOOKUP(A57&amp;D57,VCEPReports,4,FALSE)),"",VLOOKUP(A57&amp;D57,VCEPReports,4,FALSE))</f>
        <v/>
      </c>
      <c r="D57" s="5">
        <v>12605</v>
      </c>
      <c r="E57" s="5" t="s">
        <v>3</v>
      </c>
      <c r="F57" s="6">
        <v>42828</v>
      </c>
      <c r="G57" s="5" t="s">
        <v>132</v>
      </c>
      <c r="H57" s="5" t="s">
        <v>128</v>
      </c>
      <c r="I57" s="5" t="s">
        <v>129</v>
      </c>
      <c r="J57" s="5" t="s">
        <v>0</v>
      </c>
      <c r="K57" s="5" t="s">
        <v>1</v>
      </c>
      <c r="L57" s="5" t="s">
        <v>2</v>
      </c>
      <c r="M57" s="5" t="s">
        <v>915</v>
      </c>
      <c r="N57" s="5" t="s">
        <v>133</v>
      </c>
      <c r="O57" s="5" t="s">
        <v>131</v>
      </c>
      <c r="P57" s="5" t="s">
        <v>9</v>
      </c>
      <c r="XFD57"/>
    </row>
    <row r="58" spans="1:16 16384:16384" s="5" customFormat="1">
      <c r="A58" s="5" t="str">
        <f t="shared" si="0"/>
        <v>RAS</v>
      </c>
      <c r="B58" s="5" t="str">
        <f t="shared" si="1"/>
        <v>RAS12606</v>
      </c>
      <c r="C58" s="5" t="str">
        <f>IF(ISNA(VLOOKUP(A58&amp;D58,VCEPReports,4,FALSE)),"",VLOOKUP(A58&amp;D58,VCEPReports,4,FALSE))</f>
        <v/>
      </c>
      <c r="D58" s="5">
        <v>12606</v>
      </c>
      <c r="E58" s="5" t="s">
        <v>3</v>
      </c>
      <c r="F58" s="6">
        <v>42828</v>
      </c>
      <c r="G58" s="5" t="s">
        <v>134</v>
      </c>
      <c r="H58" s="5" t="s">
        <v>128</v>
      </c>
      <c r="I58" s="5" t="s">
        <v>129</v>
      </c>
      <c r="J58" s="5" t="s">
        <v>0</v>
      </c>
      <c r="K58" s="5" t="s">
        <v>1</v>
      </c>
      <c r="L58" s="5" t="s">
        <v>2</v>
      </c>
      <c r="M58" s="5" t="s">
        <v>915</v>
      </c>
      <c r="N58" s="5" t="s">
        <v>135</v>
      </c>
      <c r="O58" s="5" t="s">
        <v>131</v>
      </c>
      <c r="P58" s="5" t="s">
        <v>9</v>
      </c>
      <c r="XFD58"/>
    </row>
    <row r="59" spans="1:16 16384:16384" s="5" customFormat="1">
      <c r="A59" s="5" t="str">
        <f t="shared" si="0"/>
        <v>RAS</v>
      </c>
      <c r="B59" s="5" t="str">
        <f t="shared" si="1"/>
        <v>RAS12610</v>
      </c>
      <c r="C59" s="5" t="str">
        <f>IF(ISNA(VLOOKUP(A59&amp;D59,VCEPReports,4,FALSE)),"",VLOOKUP(A59&amp;D59,VCEPReports,4,FALSE))</f>
        <v/>
      </c>
      <c r="D59" s="5">
        <v>12610</v>
      </c>
      <c r="E59" s="5" t="s">
        <v>3</v>
      </c>
      <c r="F59" s="6">
        <v>42828</v>
      </c>
      <c r="G59" s="5" t="s">
        <v>136</v>
      </c>
      <c r="H59" s="5" t="s">
        <v>128</v>
      </c>
      <c r="I59" s="5" t="s">
        <v>129</v>
      </c>
      <c r="J59" s="5" t="s">
        <v>0</v>
      </c>
      <c r="K59" s="5" t="s">
        <v>1</v>
      </c>
      <c r="L59" s="5" t="s">
        <v>2</v>
      </c>
      <c r="M59" s="5" t="s">
        <v>915</v>
      </c>
      <c r="N59" s="5" t="s">
        <v>137</v>
      </c>
      <c r="O59" s="5" t="s">
        <v>131</v>
      </c>
      <c r="P59" s="5" t="s">
        <v>9</v>
      </c>
      <c r="XFD59"/>
    </row>
    <row r="60" spans="1:16 16384:16384" s="5" customFormat="1">
      <c r="A60" s="5" t="str">
        <f t="shared" si="0"/>
        <v>RAS</v>
      </c>
      <c r="B60" s="5" t="str">
        <f t="shared" si="1"/>
        <v>RAS12871</v>
      </c>
      <c r="C60" s="5" t="str">
        <f>IF(ISNA(VLOOKUP(A60&amp;D60,VCEPReports,4,FALSE)),"",VLOOKUP(A60&amp;D60,VCEPReports,4,FALSE))</f>
        <v/>
      </c>
      <c r="D60" s="5">
        <v>12871</v>
      </c>
      <c r="E60" s="5" t="s">
        <v>3</v>
      </c>
      <c r="F60" s="6">
        <v>42828</v>
      </c>
      <c r="G60" s="5" t="s">
        <v>138</v>
      </c>
      <c r="H60" s="5" t="s">
        <v>118</v>
      </c>
      <c r="I60" s="5" t="s">
        <v>119</v>
      </c>
      <c r="J60" s="5" t="s">
        <v>0</v>
      </c>
      <c r="K60" s="5" t="s">
        <v>1</v>
      </c>
      <c r="L60" s="5" t="s">
        <v>2</v>
      </c>
      <c r="M60" s="5" t="s">
        <v>915</v>
      </c>
      <c r="N60" s="5" t="s">
        <v>139</v>
      </c>
      <c r="O60" s="5" t="s">
        <v>140</v>
      </c>
      <c r="P60" s="5" t="s">
        <v>9</v>
      </c>
      <c r="XFD60"/>
    </row>
    <row r="61" spans="1:16 16384:16384" s="5" customFormat="1">
      <c r="A61" s="5" t="str">
        <f t="shared" si="0"/>
        <v>RAS</v>
      </c>
      <c r="B61" s="5" t="str">
        <f t="shared" si="1"/>
        <v>RAS13326</v>
      </c>
      <c r="C61" s="5" t="str">
        <f>IF(ISNA(VLOOKUP(A61&amp;D61,VCEPReports,4,FALSE)),"",VLOOKUP(A61&amp;D61,VCEPReports,4,FALSE))</f>
        <v/>
      </c>
      <c r="D61" s="5">
        <v>13326</v>
      </c>
      <c r="E61" s="5" t="s">
        <v>3</v>
      </c>
      <c r="F61" s="6">
        <v>42828</v>
      </c>
      <c r="G61" s="5" t="s">
        <v>141</v>
      </c>
      <c r="H61" s="5" t="s">
        <v>118</v>
      </c>
      <c r="I61" s="5" t="s">
        <v>119</v>
      </c>
      <c r="J61" s="5" t="s">
        <v>0</v>
      </c>
      <c r="K61" s="5" t="s">
        <v>1</v>
      </c>
      <c r="L61" s="5" t="s">
        <v>2</v>
      </c>
      <c r="M61" s="5" t="s">
        <v>915</v>
      </c>
      <c r="N61" s="5" t="s">
        <v>142</v>
      </c>
      <c r="O61" s="5" t="s">
        <v>143</v>
      </c>
      <c r="P61" s="5" t="s">
        <v>9</v>
      </c>
      <c r="XFD61"/>
    </row>
    <row r="62" spans="1:16 16384:16384" s="5" customFormat="1">
      <c r="A62" s="5" t="str">
        <f t="shared" si="0"/>
        <v>RAS</v>
      </c>
      <c r="B62" s="5" t="str">
        <f t="shared" si="1"/>
        <v>RAS13331</v>
      </c>
      <c r="C62" s="5" t="str">
        <f>IF(ISNA(VLOOKUP(A62&amp;D62,VCEPReports,4,FALSE)),"",VLOOKUP(A62&amp;D62,VCEPReports,4,FALSE))</f>
        <v/>
      </c>
      <c r="D62" s="5">
        <v>13331</v>
      </c>
      <c r="E62" s="5" t="s">
        <v>3</v>
      </c>
      <c r="F62" s="6">
        <v>42828</v>
      </c>
      <c r="G62" s="5" t="s">
        <v>144</v>
      </c>
      <c r="H62" s="5" t="s">
        <v>145</v>
      </c>
      <c r="I62" s="5" t="s">
        <v>146</v>
      </c>
      <c r="J62" s="5" t="s">
        <v>0</v>
      </c>
      <c r="K62" s="5" t="s">
        <v>1</v>
      </c>
      <c r="L62" s="5" t="s">
        <v>2</v>
      </c>
      <c r="M62" s="5" t="s">
        <v>915</v>
      </c>
      <c r="N62" s="5" t="s">
        <v>147</v>
      </c>
      <c r="O62" s="5" t="s">
        <v>143</v>
      </c>
      <c r="P62" s="5" t="s">
        <v>9</v>
      </c>
      <c r="XFD62"/>
    </row>
    <row r="63" spans="1:16 16384:16384" s="5" customFormat="1">
      <c r="A63" s="5" t="str">
        <f t="shared" si="0"/>
        <v>RAS</v>
      </c>
      <c r="B63" s="5" t="str">
        <f t="shared" si="1"/>
        <v>RAS13333</v>
      </c>
      <c r="C63" s="5" t="str">
        <f>IF(ISNA(VLOOKUP(A63&amp;D63,VCEPReports,4,FALSE)),"",VLOOKUP(A63&amp;D63,VCEPReports,4,FALSE))</f>
        <v/>
      </c>
      <c r="D63" s="5">
        <v>13333</v>
      </c>
      <c r="E63" s="5" t="s">
        <v>3</v>
      </c>
      <c r="F63" s="6">
        <v>42828</v>
      </c>
      <c r="G63" s="5" t="s">
        <v>148</v>
      </c>
      <c r="H63" s="5" t="s">
        <v>118</v>
      </c>
      <c r="I63" s="5" t="s">
        <v>119</v>
      </c>
      <c r="J63" s="5" t="s">
        <v>0</v>
      </c>
      <c r="K63" s="5" t="s">
        <v>1</v>
      </c>
      <c r="L63" s="5" t="s">
        <v>2</v>
      </c>
      <c r="M63" s="5" t="s">
        <v>915</v>
      </c>
      <c r="N63" s="5" t="s">
        <v>149</v>
      </c>
      <c r="O63" s="5" t="s">
        <v>143</v>
      </c>
      <c r="P63" s="5" t="s">
        <v>9</v>
      </c>
      <c r="XFD63"/>
    </row>
    <row r="64" spans="1:16 16384:16384" s="5" customFormat="1">
      <c r="A64" s="5" t="str">
        <f t="shared" si="0"/>
        <v>RAS</v>
      </c>
      <c r="B64" s="5" t="str">
        <f t="shared" si="1"/>
        <v>RAS13344</v>
      </c>
      <c r="C64" s="5" t="str">
        <f>IF(ISNA(VLOOKUP(A64&amp;D64,VCEPReports,4,FALSE)),"",VLOOKUP(A64&amp;D64,VCEPReports,4,FALSE))</f>
        <v/>
      </c>
      <c r="D64" s="5">
        <v>13344</v>
      </c>
      <c r="E64" s="5" t="s">
        <v>3</v>
      </c>
      <c r="F64" s="6">
        <v>42828</v>
      </c>
      <c r="G64" s="5" t="s">
        <v>150</v>
      </c>
      <c r="H64" s="5" t="s">
        <v>145</v>
      </c>
      <c r="I64" s="5" t="s">
        <v>146</v>
      </c>
      <c r="J64" s="5" t="s">
        <v>0</v>
      </c>
      <c r="K64" s="5" t="s">
        <v>1</v>
      </c>
      <c r="L64" s="5" t="s">
        <v>2</v>
      </c>
      <c r="M64" s="5" t="s">
        <v>915</v>
      </c>
      <c r="N64" s="5" t="s">
        <v>151</v>
      </c>
      <c r="O64" s="5" t="s">
        <v>143</v>
      </c>
      <c r="P64" s="5" t="s">
        <v>9</v>
      </c>
      <c r="XFD64"/>
    </row>
    <row r="65" spans="1:16 16384:16384" s="5" customFormat="1">
      <c r="A65" s="5" t="str">
        <f t="shared" si="0"/>
        <v>RAS</v>
      </c>
      <c r="B65" s="5" t="str">
        <f t="shared" si="1"/>
        <v>RAS13350</v>
      </c>
      <c r="C65" s="5" t="str">
        <f>IF(ISNA(VLOOKUP(A65&amp;D65,VCEPReports,4,FALSE)),"",VLOOKUP(A65&amp;D65,VCEPReports,4,FALSE))</f>
        <v/>
      </c>
      <c r="D65" s="5">
        <v>13350</v>
      </c>
      <c r="E65" s="5" t="s">
        <v>3</v>
      </c>
      <c r="F65" s="6">
        <v>42864</v>
      </c>
      <c r="G65" s="5" t="s">
        <v>101</v>
      </c>
      <c r="H65" s="5" t="s">
        <v>102</v>
      </c>
      <c r="I65" s="5" t="s">
        <v>103</v>
      </c>
      <c r="J65" s="5" t="s">
        <v>0</v>
      </c>
      <c r="K65" s="5" t="s">
        <v>1</v>
      </c>
      <c r="L65" s="5" t="s">
        <v>2</v>
      </c>
      <c r="M65" s="5" t="s">
        <v>915</v>
      </c>
      <c r="N65" s="5" t="s">
        <v>152</v>
      </c>
      <c r="O65" s="5" t="s">
        <v>153</v>
      </c>
      <c r="P65" s="5" t="s">
        <v>9</v>
      </c>
      <c r="XFD65"/>
    </row>
    <row r="66" spans="1:16 16384:16384" s="5" customFormat="1">
      <c r="A66" s="5" t="str">
        <f t="shared" ref="A66:A129" si="2">VLOOKUP(M66,VCEPs,2,FALSE)</f>
        <v>RAS</v>
      </c>
      <c r="B66" s="5" t="str">
        <f t="shared" si="1"/>
        <v>RAS13351</v>
      </c>
      <c r="C66" s="5" t="str">
        <f>IF(ISNA(VLOOKUP(A66&amp;D66,VCEPReports,4,FALSE)),"",VLOOKUP(A66&amp;D66,VCEPReports,4,FALSE))</f>
        <v/>
      </c>
      <c r="D66" s="5">
        <v>13351</v>
      </c>
      <c r="E66" s="5" t="s">
        <v>3</v>
      </c>
      <c r="F66" s="6">
        <v>42864</v>
      </c>
      <c r="G66" s="5" t="s">
        <v>154</v>
      </c>
      <c r="H66" s="5" t="s">
        <v>102</v>
      </c>
      <c r="I66" s="5" t="s">
        <v>103</v>
      </c>
      <c r="J66" s="5" t="s">
        <v>0</v>
      </c>
      <c r="K66" s="5" t="s">
        <v>1</v>
      </c>
      <c r="L66" s="5" t="s">
        <v>2</v>
      </c>
      <c r="M66" s="5" t="s">
        <v>915</v>
      </c>
      <c r="N66" s="5" t="s">
        <v>155</v>
      </c>
      <c r="O66" s="5" t="s">
        <v>153</v>
      </c>
      <c r="P66" s="5" t="s">
        <v>9</v>
      </c>
      <c r="XFD66"/>
    </row>
    <row r="67" spans="1:16 16384:16384" s="5" customFormat="1">
      <c r="A67" s="5" t="str">
        <f t="shared" si="2"/>
        <v>RAS</v>
      </c>
      <c r="B67" s="5" t="str">
        <f t="shared" ref="B67:B130" si="3">CONCATENATE(A67,D67)</f>
        <v>RAS13957</v>
      </c>
      <c r="C67" s="5" t="str">
        <f>IF(ISNA(VLOOKUP(A67&amp;D67,VCEPReports,4,FALSE)),"",VLOOKUP(A67&amp;D67,VCEPReports,4,FALSE))</f>
        <v/>
      </c>
      <c r="D67" s="5">
        <v>13957</v>
      </c>
      <c r="E67" s="5" t="s">
        <v>3</v>
      </c>
      <c r="F67" s="6">
        <v>42828</v>
      </c>
      <c r="G67" s="5" t="s">
        <v>156</v>
      </c>
      <c r="H67" s="5" t="s">
        <v>118</v>
      </c>
      <c r="I67" s="5" t="s">
        <v>119</v>
      </c>
      <c r="J67" s="5" t="s">
        <v>0</v>
      </c>
      <c r="K67" s="5" t="s">
        <v>1</v>
      </c>
      <c r="L67" s="5" t="s">
        <v>2</v>
      </c>
      <c r="M67" s="5" t="s">
        <v>915</v>
      </c>
      <c r="N67" s="5" t="s">
        <v>157</v>
      </c>
      <c r="O67" s="5" t="s">
        <v>158</v>
      </c>
      <c r="P67" s="5" t="s">
        <v>9</v>
      </c>
      <c r="XFD67"/>
    </row>
    <row r="68" spans="1:16 16384:16384" s="5" customFormat="1">
      <c r="A68" s="5" t="str">
        <f t="shared" si="2"/>
        <v>RAS</v>
      </c>
      <c r="B68" s="5" t="str">
        <f t="shared" si="3"/>
        <v>RAS13958</v>
      </c>
      <c r="C68" s="5" t="str">
        <f>IF(ISNA(VLOOKUP(A68&amp;D68,VCEPReports,4,FALSE)),"",VLOOKUP(A68&amp;D68,VCEPReports,4,FALSE))</f>
        <v/>
      </c>
      <c r="D68" s="5">
        <v>13958</v>
      </c>
      <c r="E68" s="5" t="s">
        <v>3</v>
      </c>
      <c r="F68" s="6">
        <v>42828</v>
      </c>
      <c r="G68" s="5" t="s">
        <v>159</v>
      </c>
      <c r="H68" s="5" t="s">
        <v>118</v>
      </c>
      <c r="I68" s="5" t="s">
        <v>119</v>
      </c>
      <c r="J68" s="5" t="s">
        <v>0</v>
      </c>
      <c r="K68" s="5" t="s">
        <v>1</v>
      </c>
      <c r="L68" s="5" t="s">
        <v>2</v>
      </c>
      <c r="M68" s="5" t="s">
        <v>915</v>
      </c>
      <c r="N68" s="5" t="s">
        <v>160</v>
      </c>
      <c r="O68" s="5" t="s">
        <v>158</v>
      </c>
      <c r="P68" s="5" t="s">
        <v>9</v>
      </c>
      <c r="XFD68"/>
    </row>
    <row r="69" spans="1:16 16384:16384" s="5" customFormat="1">
      <c r="A69" s="5" t="str">
        <f t="shared" si="2"/>
        <v>RAS</v>
      </c>
      <c r="B69" s="5" t="str">
        <f t="shared" si="3"/>
        <v>RAS13960</v>
      </c>
      <c r="C69" s="5" t="str">
        <f>IF(ISNA(VLOOKUP(A69&amp;D69,VCEPReports,4,FALSE)),"",VLOOKUP(A69&amp;D69,VCEPReports,4,FALSE))</f>
        <v/>
      </c>
      <c r="D69" s="5">
        <v>13960</v>
      </c>
      <c r="E69" s="5" t="s">
        <v>3</v>
      </c>
      <c r="F69" s="6">
        <v>42828</v>
      </c>
      <c r="G69" s="5" t="s">
        <v>161</v>
      </c>
      <c r="H69" s="5" t="s">
        <v>118</v>
      </c>
      <c r="I69" s="5" t="s">
        <v>119</v>
      </c>
      <c r="J69" s="5" t="s">
        <v>0</v>
      </c>
      <c r="K69" s="5" t="s">
        <v>1</v>
      </c>
      <c r="L69" s="5" t="s">
        <v>2</v>
      </c>
      <c r="M69" s="5" t="s">
        <v>915</v>
      </c>
      <c r="N69" s="5" t="s">
        <v>162</v>
      </c>
      <c r="O69" s="5" t="s">
        <v>158</v>
      </c>
      <c r="P69" s="5" t="s">
        <v>9</v>
      </c>
      <c r="XFD69"/>
    </row>
    <row r="70" spans="1:16 16384:16384" s="5" customFormat="1">
      <c r="A70" s="5" t="str">
        <f t="shared" si="2"/>
        <v>RAS</v>
      </c>
      <c r="B70" s="5" t="str">
        <f t="shared" si="3"/>
        <v>RAS13965</v>
      </c>
      <c r="C70" s="5" t="str">
        <f>IF(ISNA(VLOOKUP(A70&amp;D70,VCEPReports,4,FALSE)),"",VLOOKUP(A70&amp;D70,VCEPReports,4,FALSE))</f>
        <v/>
      </c>
      <c r="D70" s="5">
        <v>13965</v>
      </c>
      <c r="E70" s="5" t="s">
        <v>3</v>
      </c>
      <c r="F70" s="6">
        <v>42828</v>
      </c>
      <c r="G70" s="5" t="s">
        <v>163</v>
      </c>
      <c r="H70" s="5" t="s">
        <v>102</v>
      </c>
      <c r="I70" s="5" t="s">
        <v>103</v>
      </c>
      <c r="J70" s="5" t="s">
        <v>0</v>
      </c>
      <c r="K70" s="5" t="s">
        <v>1</v>
      </c>
      <c r="L70" s="5" t="s">
        <v>2</v>
      </c>
      <c r="M70" s="5" t="s">
        <v>915</v>
      </c>
      <c r="N70" s="5" t="s">
        <v>164</v>
      </c>
      <c r="O70" s="5" t="s">
        <v>165</v>
      </c>
      <c r="P70" s="5" t="s">
        <v>9</v>
      </c>
      <c r="XFD70"/>
    </row>
    <row r="71" spans="1:16 16384:16384" s="5" customFormat="1">
      <c r="A71" s="5" t="str">
        <f t="shared" si="2"/>
        <v>RAS</v>
      </c>
      <c r="B71" s="5" t="str">
        <f t="shared" si="3"/>
        <v>RAS13973</v>
      </c>
      <c r="C71" s="5" t="str">
        <f>IF(ISNA(VLOOKUP(A71&amp;D71,VCEPReports,4,FALSE)),"",VLOOKUP(A71&amp;D71,VCEPReports,4,FALSE))</f>
        <v/>
      </c>
      <c r="D71" s="5">
        <v>13973</v>
      </c>
      <c r="E71" s="5" t="s">
        <v>3</v>
      </c>
      <c r="F71" s="6">
        <v>42828</v>
      </c>
      <c r="G71" s="5" t="s">
        <v>154</v>
      </c>
      <c r="H71" s="5" t="s">
        <v>102</v>
      </c>
      <c r="I71" s="5" t="s">
        <v>103</v>
      </c>
      <c r="J71" s="5" t="s">
        <v>0</v>
      </c>
      <c r="K71" s="5" t="s">
        <v>1</v>
      </c>
      <c r="L71" s="5" t="s">
        <v>2</v>
      </c>
      <c r="M71" s="5" t="s">
        <v>915</v>
      </c>
      <c r="N71" s="5" t="s">
        <v>166</v>
      </c>
      <c r="O71" s="5" t="s">
        <v>165</v>
      </c>
      <c r="P71" s="5" t="s">
        <v>9</v>
      </c>
      <c r="XFD71"/>
    </row>
    <row r="72" spans="1:16 16384:16384" s="5" customFormat="1">
      <c r="A72" s="5" t="str">
        <f t="shared" si="2"/>
        <v>RAS</v>
      </c>
      <c r="B72" s="5" t="str">
        <f t="shared" si="3"/>
        <v>RAS13974</v>
      </c>
      <c r="C72" s="5" t="str">
        <f>IF(ISNA(VLOOKUP(A72&amp;D72,VCEPReports,4,FALSE)),"",VLOOKUP(A72&amp;D72,VCEPReports,4,FALSE))</f>
        <v/>
      </c>
      <c r="D72" s="5">
        <v>13974</v>
      </c>
      <c r="E72" s="5" t="s">
        <v>3</v>
      </c>
      <c r="F72" s="6">
        <v>42828</v>
      </c>
      <c r="G72" s="5" t="s">
        <v>154</v>
      </c>
      <c r="H72" s="5" t="s">
        <v>102</v>
      </c>
      <c r="I72" s="5" t="s">
        <v>103</v>
      </c>
      <c r="J72" s="5" t="s">
        <v>0</v>
      </c>
      <c r="K72" s="5" t="s">
        <v>1</v>
      </c>
      <c r="L72" s="5" t="s">
        <v>2</v>
      </c>
      <c r="M72" s="5" t="s">
        <v>915</v>
      </c>
      <c r="N72" s="5" t="s">
        <v>167</v>
      </c>
      <c r="O72" s="5" t="s">
        <v>165</v>
      </c>
      <c r="P72" s="5" t="s">
        <v>9</v>
      </c>
      <c r="XFD72"/>
    </row>
    <row r="73" spans="1:16 16384:16384" s="5" customFormat="1">
      <c r="A73" s="5" t="str">
        <f t="shared" si="2"/>
        <v>RAS</v>
      </c>
      <c r="B73" s="5" t="str">
        <f t="shared" si="3"/>
        <v>RAS13979</v>
      </c>
      <c r="C73" s="5" t="str">
        <f>IF(ISNA(VLOOKUP(A73&amp;D73,VCEPReports,4,FALSE)),"",VLOOKUP(A73&amp;D73,VCEPReports,4,FALSE))</f>
        <v/>
      </c>
      <c r="D73" s="5">
        <v>13979</v>
      </c>
      <c r="E73" s="5" t="s">
        <v>3</v>
      </c>
      <c r="F73" s="6">
        <v>42828</v>
      </c>
      <c r="G73" s="5" t="s">
        <v>168</v>
      </c>
      <c r="H73" s="5" t="s">
        <v>102</v>
      </c>
      <c r="I73" s="5" t="s">
        <v>103</v>
      </c>
      <c r="J73" s="5" t="s">
        <v>0</v>
      </c>
      <c r="K73" s="5" t="s">
        <v>1</v>
      </c>
      <c r="L73" s="5" t="s">
        <v>2</v>
      </c>
      <c r="M73" s="5" t="s">
        <v>915</v>
      </c>
      <c r="N73" s="5" t="s">
        <v>169</v>
      </c>
      <c r="O73" s="5" t="s">
        <v>165</v>
      </c>
      <c r="P73" s="5" t="s">
        <v>9</v>
      </c>
      <c r="XFD73"/>
    </row>
    <row r="74" spans="1:16 16384:16384" s="5" customFormat="1">
      <c r="A74" s="5" t="str">
        <f t="shared" si="2"/>
        <v>CARDIO</v>
      </c>
      <c r="B74" s="5" t="str">
        <f t="shared" si="3"/>
        <v>CARDIO14087</v>
      </c>
      <c r="C74" s="5" t="str">
        <f>IF(ISNA(VLOOKUP(A74&amp;D74,VCEPReports,4,FALSE)),"",VLOOKUP(A74&amp;D74,VCEPReports,4,FALSE))</f>
        <v/>
      </c>
      <c r="D74" s="5">
        <v>14087</v>
      </c>
      <c r="E74" s="5" t="s">
        <v>3</v>
      </c>
      <c r="F74" s="6">
        <v>42719</v>
      </c>
      <c r="G74" s="5" t="s">
        <v>170</v>
      </c>
      <c r="H74" s="5" t="s">
        <v>171</v>
      </c>
      <c r="I74" s="5" t="s">
        <v>172</v>
      </c>
      <c r="J74" s="5" t="s">
        <v>0</v>
      </c>
      <c r="K74" s="5" t="s">
        <v>1</v>
      </c>
      <c r="L74" s="5" t="s">
        <v>2</v>
      </c>
      <c r="M74" s="5" t="s">
        <v>933</v>
      </c>
      <c r="N74" s="5" t="s">
        <v>173</v>
      </c>
      <c r="O74" s="5" t="s">
        <v>174</v>
      </c>
      <c r="P74" s="5" t="s">
        <v>9</v>
      </c>
      <c r="XFD74"/>
    </row>
    <row r="75" spans="1:16 16384:16384" s="5" customFormat="1">
      <c r="A75" s="5" t="str">
        <f t="shared" si="2"/>
        <v>CARDIO</v>
      </c>
      <c r="B75" s="5" t="str">
        <f t="shared" si="3"/>
        <v>CARDIO14089</v>
      </c>
      <c r="C75" s="5" t="str">
        <f>IF(ISNA(VLOOKUP(A75&amp;D75,VCEPReports,4,FALSE)),"",VLOOKUP(A75&amp;D75,VCEPReports,4,FALSE))</f>
        <v/>
      </c>
      <c r="D75" s="5">
        <v>14089</v>
      </c>
      <c r="E75" s="5" t="s">
        <v>3</v>
      </c>
      <c r="F75" s="6">
        <v>42719</v>
      </c>
      <c r="G75" s="5" t="s">
        <v>175</v>
      </c>
      <c r="H75" s="5" t="s">
        <v>176</v>
      </c>
      <c r="I75" s="5" t="s">
        <v>177</v>
      </c>
      <c r="J75" s="5" t="s">
        <v>0</v>
      </c>
      <c r="K75" s="5" t="s">
        <v>1</v>
      </c>
      <c r="L75" s="5" t="s">
        <v>2</v>
      </c>
      <c r="M75" s="5" t="s">
        <v>933</v>
      </c>
      <c r="N75" s="5" t="s">
        <v>178</v>
      </c>
      <c r="O75" s="5" t="s">
        <v>174</v>
      </c>
      <c r="P75" s="5" t="s">
        <v>9</v>
      </c>
      <c r="XFD75"/>
    </row>
    <row r="76" spans="1:16 16384:16384" s="5" customFormat="1">
      <c r="A76" s="5" t="str">
        <f t="shared" si="2"/>
        <v>CARDIO</v>
      </c>
      <c r="B76" s="5" t="str">
        <f t="shared" si="3"/>
        <v>CARDIO14090</v>
      </c>
      <c r="C76" s="5" t="str">
        <f>IF(ISNA(VLOOKUP(A76&amp;D76,VCEPReports,4,FALSE)),"",VLOOKUP(A76&amp;D76,VCEPReports,4,FALSE))</f>
        <v/>
      </c>
      <c r="D76" s="5">
        <v>14090</v>
      </c>
      <c r="E76" s="5" t="s">
        <v>3</v>
      </c>
      <c r="F76" s="6">
        <v>42719</v>
      </c>
      <c r="G76" s="5" t="s">
        <v>179</v>
      </c>
      <c r="H76" s="5" t="s">
        <v>171</v>
      </c>
      <c r="I76" s="5" t="s">
        <v>172</v>
      </c>
      <c r="J76" s="5" t="s">
        <v>0</v>
      </c>
      <c r="K76" s="5" t="s">
        <v>1</v>
      </c>
      <c r="L76" s="5" t="s">
        <v>2</v>
      </c>
      <c r="M76" s="5" t="s">
        <v>933</v>
      </c>
      <c r="N76" s="5" t="s">
        <v>180</v>
      </c>
      <c r="O76" s="5" t="s">
        <v>174</v>
      </c>
      <c r="P76" s="5" t="s">
        <v>9</v>
      </c>
      <c r="XFD76"/>
    </row>
    <row r="77" spans="1:16 16384:16384" s="5" customFormat="1">
      <c r="A77" s="5" t="str">
        <f t="shared" si="2"/>
        <v>CARDIO</v>
      </c>
      <c r="B77" s="5" t="str">
        <f t="shared" si="3"/>
        <v>CARDIO14095</v>
      </c>
      <c r="C77" s="5" t="str">
        <f>IF(ISNA(VLOOKUP(A77&amp;D77,VCEPReports,4,FALSE)),"",VLOOKUP(A77&amp;D77,VCEPReports,4,FALSE))</f>
        <v/>
      </c>
      <c r="D77" s="5">
        <v>14095</v>
      </c>
      <c r="E77" s="5" t="s">
        <v>3</v>
      </c>
      <c r="F77" s="6">
        <v>42719</v>
      </c>
      <c r="G77" s="5" t="s">
        <v>181</v>
      </c>
      <c r="H77" s="5" t="s">
        <v>171</v>
      </c>
      <c r="I77" s="5" t="s">
        <v>172</v>
      </c>
      <c r="J77" s="5" t="s">
        <v>0</v>
      </c>
      <c r="K77" s="5" t="s">
        <v>1</v>
      </c>
      <c r="L77" s="5" t="s">
        <v>2</v>
      </c>
      <c r="M77" s="5" t="s">
        <v>933</v>
      </c>
      <c r="N77" s="5" t="s">
        <v>182</v>
      </c>
      <c r="O77" s="5" t="s">
        <v>174</v>
      </c>
      <c r="P77" s="5" t="s">
        <v>9</v>
      </c>
      <c r="XFD77"/>
    </row>
    <row r="78" spans="1:16 16384:16384" s="5" customFormat="1">
      <c r="A78" s="5" t="str">
        <f t="shared" si="2"/>
        <v>CARDIO</v>
      </c>
      <c r="B78" s="5" t="str">
        <f t="shared" si="3"/>
        <v>CARDIO14097</v>
      </c>
      <c r="C78" s="5" t="str">
        <f>IF(ISNA(VLOOKUP(A78&amp;D78,VCEPReports,4,FALSE)),"",VLOOKUP(A78&amp;D78,VCEPReports,4,FALSE))</f>
        <v/>
      </c>
      <c r="D78" s="5">
        <v>14097</v>
      </c>
      <c r="E78" s="5" t="s">
        <v>3</v>
      </c>
      <c r="F78" s="6">
        <v>42719</v>
      </c>
      <c r="G78" s="5" t="s">
        <v>183</v>
      </c>
      <c r="H78" s="5" t="s">
        <v>171</v>
      </c>
      <c r="I78" s="5" t="s">
        <v>172</v>
      </c>
      <c r="J78" s="5" t="s">
        <v>0</v>
      </c>
      <c r="K78" s="5" t="s">
        <v>1</v>
      </c>
      <c r="L78" s="5" t="s">
        <v>2</v>
      </c>
      <c r="M78" s="5" t="s">
        <v>933</v>
      </c>
      <c r="N78" s="5" t="s">
        <v>184</v>
      </c>
      <c r="O78" s="5" t="s">
        <v>174</v>
      </c>
      <c r="P78" s="5" t="s">
        <v>9</v>
      </c>
      <c r="XFD78"/>
    </row>
    <row r="79" spans="1:16 16384:16384" s="5" customFormat="1">
      <c r="A79" s="5" t="str">
        <f t="shared" si="2"/>
        <v>CARDIO</v>
      </c>
      <c r="B79" s="5" t="str">
        <f t="shared" si="3"/>
        <v>CARDIO14098</v>
      </c>
      <c r="C79" s="5" t="str">
        <f>IF(ISNA(VLOOKUP(A79&amp;D79,VCEPReports,4,FALSE)),"",VLOOKUP(A79&amp;D79,VCEPReports,4,FALSE))</f>
        <v/>
      </c>
      <c r="D79" s="5">
        <v>14098</v>
      </c>
      <c r="E79" s="5" t="s">
        <v>3</v>
      </c>
      <c r="F79" s="6">
        <v>42719</v>
      </c>
      <c r="G79" s="5" t="s">
        <v>185</v>
      </c>
      <c r="H79" s="5" t="s">
        <v>171</v>
      </c>
      <c r="I79" s="5" t="s">
        <v>172</v>
      </c>
      <c r="J79" s="5" t="s">
        <v>0</v>
      </c>
      <c r="K79" s="5" t="s">
        <v>1</v>
      </c>
      <c r="L79" s="5" t="s">
        <v>2</v>
      </c>
      <c r="M79" s="5" t="s">
        <v>933</v>
      </c>
      <c r="N79" s="5" t="s">
        <v>186</v>
      </c>
      <c r="O79" s="5" t="s">
        <v>174</v>
      </c>
      <c r="P79" s="5" t="s">
        <v>9</v>
      </c>
      <c r="XFD79"/>
    </row>
    <row r="80" spans="1:16 16384:16384" s="5" customFormat="1">
      <c r="A80" s="5" t="str">
        <f t="shared" si="2"/>
        <v>CARDIO</v>
      </c>
      <c r="B80" s="5" t="str">
        <f t="shared" si="3"/>
        <v>CARDIO14102</v>
      </c>
      <c r="C80" s="5" t="str">
        <f>IF(ISNA(VLOOKUP(A80&amp;D80,VCEPReports,4,FALSE)),"",VLOOKUP(A80&amp;D80,VCEPReports,4,FALSE))</f>
        <v/>
      </c>
      <c r="D80" s="5">
        <v>14102</v>
      </c>
      <c r="E80" s="5" t="s">
        <v>3</v>
      </c>
      <c r="F80" s="6">
        <v>42719</v>
      </c>
      <c r="G80" s="5" t="s">
        <v>187</v>
      </c>
      <c r="H80" s="5" t="s">
        <v>171</v>
      </c>
      <c r="I80" s="5" t="s">
        <v>172</v>
      </c>
      <c r="J80" s="5" t="s">
        <v>0</v>
      </c>
      <c r="K80" s="5" t="s">
        <v>1</v>
      </c>
      <c r="L80" s="5" t="s">
        <v>2</v>
      </c>
      <c r="M80" s="5" t="s">
        <v>933</v>
      </c>
      <c r="N80" s="5" t="s">
        <v>188</v>
      </c>
      <c r="O80" s="5" t="s">
        <v>174</v>
      </c>
      <c r="P80" s="5" t="s">
        <v>9</v>
      </c>
      <c r="XFD80"/>
    </row>
    <row r="81" spans="1:16 16384:16384" s="5" customFormat="1">
      <c r="A81" s="5" t="str">
        <f t="shared" si="2"/>
        <v>CARDIO</v>
      </c>
      <c r="B81" s="5" t="str">
        <f t="shared" si="3"/>
        <v>CARDIO14104</v>
      </c>
      <c r="C81" s="5" t="str">
        <f>IF(ISNA(VLOOKUP(A81&amp;D81,VCEPReports,4,FALSE)),"",VLOOKUP(A81&amp;D81,VCEPReports,4,FALSE))</f>
        <v/>
      </c>
      <c r="D81" s="5">
        <v>14104</v>
      </c>
      <c r="E81" s="5" t="s">
        <v>3</v>
      </c>
      <c r="F81" s="6">
        <v>42719</v>
      </c>
      <c r="G81" s="5" t="s">
        <v>189</v>
      </c>
      <c r="H81" s="5" t="s">
        <v>171</v>
      </c>
      <c r="I81" s="5" t="s">
        <v>172</v>
      </c>
      <c r="J81" s="5" t="s">
        <v>0</v>
      </c>
      <c r="K81" s="5" t="s">
        <v>1</v>
      </c>
      <c r="L81" s="5" t="s">
        <v>2</v>
      </c>
      <c r="M81" s="5" t="s">
        <v>933</v>
      </c>
      <c r="N81" s="5" t="s">
        <v>190</v>
      </c>
      <c r="O81" s="5" t="s">
        <v>174</v>
      </c>
      <c r="P81" s="5" t="s">
        <v>9</v>
      </c>
      <c r="XFD81"/>
    </row>
    <row r="82" spans="1:16 16384:16384" s="5" customFormat="1">
      <c r="A82" s="5" t="str">
        <f t="shared" si="2"/>
        <v>CARDIO</v>
      </c>
      <c r="B82" s="5" t="str">
        <f t="shared" si="3"/>
        <v>CARDIO14105</v>
      </c>
      <c r="C82" s="5" t="str">
        <f>IF(ISNA(VLOOKUP(A82&amp;D82,VCEPReports,4,FALSE)),"",VLOOKUP(A82&amp;D82,VCEPReports,4,FALSE))</f>
        <v/>
      </c>
      <c r="D82" s="5">
        <v>14105</v>
      </c>
      <c r="E82" s="5" t="s">
        <v>3</v>
      </c>
      <c r="F82" s="6">
        <v>42719</v>
      </c>
      <c r="G82" s="5" t="s">
        <v>191</v>
      </c>
      <c r="H82" s="5" t="s">
        <v>171</v>
      </c>
      <c r="I82" s="5" t="s">
        <v>172</v>
      </c>
      <c r="J82" s="5" t="s">
        <v>0</v>
      </c>
      <c r="K82" s="5" t="s">
        <v>1</v>
      </c>
      <c r="L82" s="5" t="s">
        <v>2</v>
      </c>
      <c r="M82" s="5" t="s">
        <v>933</v>
      </c>
      <c r="N82" s="5" t="s">
        <v>192</v>
      </c>
      <c r="O82" s="5" t="s">
        <v>174</v>
      </c>
      <c r="P82" s="5" t="s">
        <v>9</v>
      </c>
      <c r="XFD82"/>
    </row>
    <row r="83" spans="1:16 16384:16384" s="5" customFormat="1">
      <c r="A83" s="5" t="str">
        <f t="shared" si="2"/>
        <v>CARDIO</v>
      </c>
      <c r="B83" s="5" t="str">
        <f t="shared" si="3"/>
        <v>CARDIO14107</v>
      </c>
      <c r="C83" s="5" t="str">
        <f>IF(ISNA(VLOOKUP(A83&amp;D83,VCEPReports,4,FALSE)),"",VLOOKUP(A83&amp;D83,VCEPReports,4,FALSE))</f>
        <v/>
      </c>
      <c r="D83" s="5">
        <v>14107</v>
      </c>
      <c r="E83" s="5" t="s">
        <v>3</v>
      </c>
      <c r="F83" s="6">
        <v>42719</v>
      </c>
      <c r="G83" s="5" t="s">
        <v>187</v>
      </c>
      <c r="H83" s="5" t="s">
        <v>171</v>
      </c>
      <c r="I83" s="5" t="s">
        <v>172</v>
      </c>
      <c r="J83" s="5" t="s">
        <v>0</v>
      </c>
      <c r="K83" s="5" t="s">
        <v>1</v>
      </c>
      <c r="L83" s="5" t="s">
        <v>2</v>
      </c>
      <c r="M83" s="5" t="s">
        <v>933</v>
      </c>
      <c r="N83" s="5" t="s">
        <v>193</v>
      </c>
      <c r="O83" s="5" t="s">
        <v>174</v>
      </c>
      <c r="P83" s="5" t="s">
        <v>9</v>
      </c>
      <c r="XFD83"/>
    </row>
    <row r="84" spans="1:16 16384:16384" s="5" customFormat="1">
      <c r="A84" s="5" t="str">
        <f t="shared" si="2"/>
        <v>CARDIO</v>
      </c>
      <c r="B84" s="5" t="str">
        <f t="shared" si="3"/>
        <v>CARDIO14108</v>
      </c>
      <c r="C84" s="5" t="str">
        <f>IF(ISNA(VLOOKUP(A84&amp;D84,VCEPReports,4,FALSE)),"",VLOOKUP(A84&amp;D84,VCEPReports,4,FALSE))</f>
        <v/>
      </c>
      <c r="D84" s="5">
        <v>14108</v>
      </c>
      <c r="E84" s="5" t="s">
        <v>3</v>
      </c>
      <c r="F84" s="6">
        <v>42719</v>
      </c>
      <c r="G84" s="5" t="s">
        <v>194</v>
      </c>
      <c r="H84" s="5" t="s">
        <v>195</v>
      </c>
      <c r="I84" s="5" t="s">
        <v>196</v>
      </c>
      <c r="J84" s="5" t="s">
        <v>0</v>
      </c>
      <c r="K84" s="5" t="s">
        <v>1</v>
      </c>
      <c r="L84" s="5" t="s">
        <v>2</v>
      </c>
      <c r="M84" s="5" t="s">
        <v>933</v>
      </c>
      <c r="N84" s="5" t="s">
        <v>197</v>
      </c>
      <c r="O84" s="5" t="s">
        <v>174</v>
      </c>
      <c r="P84" s="5" t="s">
        <v>9</v>
      </c>
      <c r="XFD84"/>
    </row>
    <row r="85" spans="1:16 16384:16384" s="5" customFormat="1">
      <c r="A85" s="5" t="str">
        <f t="shared" si="2"/>
        <v>CARDIO</v>
      </c>
      <c r="B85" s="5" t="str">
        <f t="shared" si="3"/>
        <v>CARDIO14120</v>
      </c>
      <c r="C85" s="5" t="str">
        <f>IF(ISNA(VLOOKUP(A85&amp;D85,VCEPReports,4,FALSE)),"",VLOOKUP(A85&amp;D85,VCEPReports,4,FALSE))</f>
        <v/>
      </c>
      <c r="D85" s="5">
        <v>14120</v>
      </c>
      <c r="E85" s="5" t="s">
        <v>3</v>
      </c>
      <c r="F85" s="6">
        <v>42719</v>
      </c>
      <c r="G85" s="5" t="s">
        <v>198</v>
      </c>
      <c r="H85" s="5" t="s">
        <v>171</v>
      </c>
      <c r="I85" s="5" t="s">
        <v>172</v>
      </c>
      <c r="J85" s="5" t="s">
        <v>0</v>
      </c>
      <c r="K85" s="5" t="s">
        <v>1</v>
      </c>
      <c r="L85" s="5" t="s">
        <v>2</v>
      </c>
      <c r="M85" s="5" t="s">
        <v>933</v>
      </c>
      <c r="N85" s="5" t="s">
        <v>199</v>
      </c>
      <c r="O85" s="5" t="s">
        <v>174</v>
      </c>
      <c r="P85" s="5" t="s">
        <v>9</v>
      </c>
      <c r="XFD85"/>
    </row>
    <row r="86" spans="1:16 16384:16384" s="5" customFormat="1">
      <c r="A86" s="5" t="str">
        <f t="shared" si="2"/>
        <v>CARDIO</v>
      </c>
      <c r="B86" s="5" t="str">
        <f t="shared" si="3"/>
        <v>CARDIO14125</v>
      </c>
      <c r="C86" s="5" t="str">
        <f>IF(ISNA(VLOOKUP(A86&amp;D86,VCEPReports,4,FALSE)),"",VLOOKUP(A86&amp;D86,VCEPReports,4,FALSE))</f>
        <v/>
      </c>
      <c r="D86" s="5">
        <v>14125</v>
      </c>
      <c r="E86" s="5" t="s">
        <v>3</v>
      </c>
      <c r="F86" s="6">
        <v>42719</v>
      </c>
      <c r="G86" s="5" t="s">
        <v>198</v>
      </c>
      <c r="H86" s="5" t="s">
        <v>171</v>
      </c>
      <c r="I86" s="5" t="s">
        <v>172</v>
      </c>
      <c r="J86" s="5" t="s">
        <v>0</v>
      </c>
      <c r="K86" s="5" t="s">
        <v>1</v>
      </c>
      <c r="L86" s="5" t="s">
        <v>2</v>
      </c>
      <c r="M86" s="5" t="s">
        <v>933</v>
      </c>
      <c r="N86" s="5" t="s">
        <v>200</v>
      </c>
      <c r="O86" s="5" t="s">
        <v>174</v>
      </c>
      <c r="P86" s="5" t="s">
        <v>9</v>
      </c>
      <c r="XFD86"/>
    </row>
    <row r="87" spans="1:16 16384:16384" s="5" customFormat="1">
      <c r="A87" s="5" t="str">
        <f t="shared" si="2"/>
        <v>HL</v>
      </c>
      <c r="B87" s="5" t="str">
        <f t="shared" si="3"/>
        <v>HL17002</v>
      </c>
      <c r="C87" s="5" t="str">
        <f>IF(ISNA(VLOOKUP(A87&amp;D87,VCEPReports,4,FALSE)),"",VLOOKUP(A87&amp;D87,VCEPReports,4,FALSE))</f>
        <v/>
      </c>
      <c r="D87" s="5">
        <v>17002</v>
      </c>
      <c r="E87" s="5" t="s">
        <v>3</v>
      </c>
      <c r="F87" s="6">
        <v>43360</v>
      </c>
      <c r="G87" s="5" t="s">
        <v>201</v>
      </c>
      <c r="H87" s="5" t="s">
        <v>79</v>
      </c>
      <c r="I87" s="5" t="s">
        <v>80</v>
      </c>
      <c r="J87" s="5" t="s">
        <v>0</v>
      </c>
      <c r="K87" s="5" t="s">
        <v>1</v>
      </c>
      <c r="L87" s="5" t="s">
        <v>2</v>
      </c>
      <c r="M87" s="5" t="s">
        <v>914</v>
      </c>
      <c r="N87" s="5" t="s">
        <v>202</v>
      </c>
      <c r="O87" s="5" t="s">
        <v>203</v>
      </c>
      <c r="P87" s="5" t="s">
        <v>9</v>
      </c>
      <c r="XFD87"/>
    </row>
    <row r="88" spans="1:16 16384:16384" s="5" customFormat="1">
      <c r="A88" s="5" t="str">
        <f t="shared" si="2"/>
        <v>HL</v>
      </c>
      <c r="B88" s="5" t="str">
        <f t="shared" si="3"/>
        <v>HL17004</v>
      </c>
      <c r="C88" s="5" t="str">
        <f>IF(ISNA(VLOOKUP(A88&amp;D88,VCEPReports,4,FALSE)),"",VLOOKUP(A88&amp;D88,VCEPReports,4,FALSE))</f>
        <v/>
      </c>
      <c r="D88" s="5">
        <v>17004</v>
      </c>
      <c r="E88" s="5" t="s">
        <v>3</v>
      </c>
      <c r="F88" s="6">
        <v>43363</v>
      </c>
      <c r="G88" s="5" t="s">
        <v>204</v>
      </c>
      <c r="H88" s="5" t="s">
        <v>79</v>
      </c>
      <c r="I88" s="5" t="s">
        <v>80</v>
      </c>
      <c r="J88" s="5" t="s">
        <v>0</v>
      </c>
      <c r="K88" s="5" t="s">
        <v>1</v>
      </c>
      <c r="L88" s="5" t="s">
        <v>2</v>
      </c>
      <c r="M88" s="5" t="s">
        <v>914</v>
      </c>
      <c r="N88" s="5" t="s">
        <v>205</v>
      </c>
      <c r="O88" s="5" t="s">
        <v>203</v>
      </c>
      <c r="P88" s="5" t="s">
        <v>9</v>
      </c>
      <c r="XFD88"/>
    </row>
    <row r="89" spans="1:16 16384:16384" s="5" customFormat="1">
      <c r="A89" s="5" t="str">
        <f t="shared" si="2"/>
        <v>HL</v>
      </c>
      <c r="B89" s="5" t="str">
        <f t="shared" si="3"/>
        <v>HL17010</v>
      </c>
      <c r="C89" s="5" t="str">
        <f>IF(ISNA(VLOOKUP(A89&amp;D89,VCEPReports,4,FALSE)),"",VLOOKUP(A89&amp;D89,VCEPReports,4,FALSE))</f>
        <v/>
      </c>
      <c r="D89" s="5">
        <v>17010</v>
      </c>
      <c r="E89" s="5" t="s">
        <v>3</v>
      </c>
      <c r="F89" s="6">
        <v>43362</v>
      </c>
      <c r="G89" s="5" t="s">
        <v>206</v>
      </c>
      <c r="H89" s="5" t="s">
        <v>79</v>
      </c>
      <c r="I89" s="5" t="s">
        <v>80</v>
      </c>
      <c r="J89" s="5" t="s">
        <v>0</v>
      </c>
      <c r="K89" s="5" t="s">
        <v>1</v>
      </c>
      <c r="L89" s="5" t="s">
        <v>2</v>
      </c>
      <c r="M89" s="5" t="s">
        <v>914</v>
      </c>
      <c r="N89" s="5" t="s">
        <v>207</v>
      </c>
      <c r="O89" s="5" t="s">
        <v>203</v>
      </c>
      <c r="P89" s="5" t="s">
        <v>9</v>
      </c>
      <c r="XFD89"/>
    </row>
    <row r="90" spans="1:16 16384:16384" s="5" customFormat="1">
      <c r="A90" s="5" t="str">
        <f t="shared" si="2"/>
        <v>HL</v>
      </c>
      <c r="B90" s="5" t="str">
        <f t="shared" si="3"/>
        <v>HL17014</v>
      </c>
      <c r="C90" s="5" t="str">
        <f>IF(ISNA(VLOOKUP(A90&amp;D90,VCEPReports,4,FALSE)),"",VLOOKUP(A90&amp;D90,VCEPReports,4,FALSE))</f>
        <v/>
      </c>
      <c r="D90" s="5">
        <v>17014</v>
      </c>
      <c r="E90" s="5" t="s">
        <v>3</v>
      </c>
      <c r="F90" s="6">
        <v>43357</v>
      </c>
      <c r="G90" s="5" t="s">
        <v>208</v>
      </c>
      <c r="H90" s="5" t="s">
        <v>79</v>
      </c>
      <c r="I90" s="5" t="s">
        <v>80</v>
      </c>
      <c r="J90" s="5" t="s">
        <v>0</v>
      </c>
      <c r="K90" s="5" t="s">
        <v>1</v>
      </c>
      <c r="L90" s="5" t="s">
        <v>2</v>
      </c>
      <c r="M90" s="5" t="s">
        <v>914</v>
      </c>
      <c r="N90" s="5" t="s">
        <v>209</v>
      </c>
      <c r="O90" s="5" t="s">
        <v>203</v>
      </c>
      <c r="P90" s="5" t="s">
        <v>9</v>
      </c>
      <c r="XFD90"/>
    </row>
    <row r="91" spans="1:16 16384:16384" s="5" customFormat="1">
      <c r="A91" s="5" t="str">
        <f t="shared" si="2"/>
        <v>RAS</v>
      </c>
      <c r="B91" s="5" t="str">
        <f t="shared" si="3"/>
        <v>RAS21342</v>
      </c>
      <c r="C91" s="5" t="str">
        <f>IF(ISNA(VLOOKUP(A91&amp;D91,VCEPReports,4,FALSE)),"",VLOOKUP(A91&amp;D91,VCEPReports,4,FALSE))</f>
        <v/>
      </c>
      <c r="D91" s="5">
        <v>21342</v>
      </c>
      <c r="E91" s="5" t="s">
        <v>3</v>
      </c>
      <c r="F91" s="6">
        <v>42828</v>
      </c>
      <c r="G91" s="5" t="s">
        <v>210</v>
      </c>
      <c r="H91" s="5" t="s">
        <v>109</v>
      </c>
      <c r="I91" s="5" t="s">
        <v>110</v>
      </c>
      <c r="J91" s="5" t="s">
        <v>0</v>
      </c>
      <c r="K91" s="5" t="s">
        <v>1</v>
      </c>
      <c r="L91" s="5" t="s">
        <v>2</v>
      </c>
      <c r="M91" s="5" t="s">
        <v>915</v>
      </c>
      <c r="N91" s="5" t="s">
        <v>211</v>
      </c>
      <c r="O91" s="5" t="s">
        <v>158</v>
      </c>
      <c r="P91" s="5" t="s">
        <v>9</v>
      </c>
      <c r="XFD91"/>
    </row>
    <row r="92" spans="1:16 16384:16384" s="5" customFormat="1">
      <c r="A92" s="5" t="str">
        <f t="shared" si="2"/>
        <v>CARDIO</v>
      </c>
      <c r="B92" s="5" t="str">
        <f t="shared" si="3"/>
        <v>CARDIO36641</v>
      </c>
      <c r="C92" s="5" t="str">
        <f>IF(ISNA(VLOOKUP(A92&amp;D92,VCEPReports,4,FALSE)),"",VLOOKUP(A92&amp;D92,VCEPReports,4,FALSE))</f>
        <v/>
      </c>
      <c r="D92" s="5">
        <v>36641</v>
      </c>
      <c r="E92" s="5" t="s">
        <v>86</v>
      </c>
      <c r="F92" s="6">
        <v>42719</v>
      </c>
      <c r="G92" s="5" t="s">
        <v>213</v>
      </c>
      <c r="H92" s="5" t="s">
        <v>214</v>
      </c>
      <c r="I92" s="5" t="s">
        <v>215</v>
      </c>
      <c r="J92" s="5" t="s">
        <v>0</v>
      </c>
      <c r="K92" s="5" t="s">
        <v>1</v>
      </c>
      <c r="L92" s="5" t="s">
        <v>2</v>
      </c>
      <c r="M92" s="5" t="s">
        <v>933</v>
      </c>
      <c r="N92" s="5" t="s">
        <v>216</v>
      </c>
      <c r="O92" s="5" t="s">
        <v>174</v>
      </c>
      <c r="P92" s="5" t="s">
        <v>9</v>
      </c>
      <c r="XFD92"/>
    </row>
    <row r="93" spans="1:16 16384:16384" s="5" customFormat="1">
      <c r="A93" s="5" t="str">
        <f t="shared" si="2"/>
        <v>CARDIO</v>
      </c>
      <c r="B93" s="5" t="str">
        <f t="shared" si="3"/>
        <v>CARDIO36642</v>
      </c>
      <c r="C93" s="5" t="str">
        <f>IF(ISNA(VLOOKUP(A93&amp;D93,VCEPReports,4,FALSE)),"",VLOOKUP(A93&amp;D93,VCEPReports,4,FALSE))</f>
        <v/>
      </c>
      <c r="D93" s="5">
        <v>36642</v>
      </c>
      <c r="E93" s="5" t="s">
        <v>24</v>
      </c>
      <c r="F93" s="6">
        <v>42719</v>
      </c>
      <c r="G93" s="5" t="s">
        <v>217</v>
      </c>
      <c r="H93" s="5" t="s">
        <v>171</v>
      </c>
      <c r="I93" s="5" t="s">
        <v>172</v>
      </c>
      <c r="J93" s="5" t="s">
        <v>0</v>
      </c>
      <c r="K93" s="5" t="s">
        <v>1</v>
      </c>
      <c r="L93" s="5" t="s">
        <v>2</v>
      </c>
      <c r="M93" s="5" t="s">
        <v>933</v>
      </c>
      <c r="N93" s="5" t="s">
        <v>218</v>
      </c>
      <c r="O93" s="5" t="s">
        <v>174</v>
      </c>
      <c r="P93" s="5" t="s">
        <v>9</v>
      </c>
      <c r="XFD93"/>
    </row>
    <row r="94" spans="1:16 16384:16384" s="5" customFormat="1">
      <c r="A94" s="5" t="str">
        <f t="shared" si="2"/>
        <v>RAS</v>
      </c>
      <c r="B94" s="5" t="str">
        <f t="shared" si="3"/>
        <v>RAS36708</v>
      </c>
      <c r="C94" s="5" t="str">
        <f>IF(ISNA(VLOOKUP(A94&amp;D94,VCEPReports,4,FALSE)),"",VLOOKUP(A94&amp;D94,VCEPReports,4,FALSE))</f>
        <v/>
      </c>
      <c r="D94" s="5">
        <v>36708</v>
      </c>
      <c r="E94" s="5" t="s">
        <v>65</v>
      </c>
      <c r="F94" s="6">
        <v>42843</v>
      </c>
      <c r="G94" s="5" t="s">
        <v>219</v>
      </c>
      <c r="H94" s="5" t="s">
        <v>109</v>
      </c>
      <c r="I94" s="5" t="s">
        <v>110</v>
      </c>
      <c r="J94" s="5" t="s">
        <v>0</v>
      </c>
      <c r="K94" s="5" t="s">
        <v>1</v>
      </c>
      <c r="L94" s="5" t="s">
        <v>2</v>
      </c>
      <c r="M94" s="5" t="s">
        <v>915</v>
      </c>
      <c r="N94" s="5" t="s">
        <v>220</v>
      </c>
      <c r="O94" s="5" t="s">
        <v>143</v>
      </c>
      <c r="P94" s="5" t="s">
        <v>9</v>
      </c>
      <c r="XFD94"/>
    </row>
    <row r="95" spans="1:16 16384:16384" s="5" customFormat="1">
      <c r="A95" s="5" t="str">
        <f t="shared" si="2"/>
        <v>RAS</v>
      </c>
      <c r="B95" s="5" t="str">
        <f t="shared" si="3"/>
        <v>RAS36709</v>
      </c>
      <c r="C95" s="5" t="str">
        <f>IF(ISNA(VLOOKUP(A95&amp;D95,VCEPReports,4,FALSE)),"",VLOOKUP(A95&amp;D95,VCEPReports,4,FALSE))</f>
        <v/>
      </c>
      <c r="D95" s="5">
        <v>36709</v>
      </c>
      <c r="E95" s="5" t="s">
        <v>65</v>
      </c>
      <c r="F95" s="6">
        <v>42843</v>
      </c>
      <c r="G95" s="5" t="s">
        <v>219</v>
      </c>
      <c r="H95" s="5" t="s">
        <v>109</v>
      </c>
      <c r="I95" s="5" t="s">
        <v>110</v>
      </c>
      <c r="J95" s="5" t="s">
        <v>0</v>
      </c>
      <c r="K95" s="5" t="s">
        <v>1</v>
      </c>
      <c r="L95" s="5" t="s">
        <v>2</v>
      </c>
      <c r="M95" s="5" t="s">
        <v>915</v>
      </c>
      <c r="N95" s="5" t="s">
        <v>221</v>
      </c>
      <c r="O95" s="5" t="s">
        <v>143</v>
      </c>
      <c r="P95" s="5" t="s">
        <v>9</v>
      </c>
      <c r="XFD95"/>
    </row>
    <row r="96" spans="1:16 16384:16384" s="5" customFormat="1">
      <c r="A96" s="5" t="str">
        <f t="shared" si="2"/>
        <v>CARDIO</v>
      </c>
      <c r="B96" s="5" t="str">
        <f t="shared" si="3"/>
        <v>CARDIO37375</v>
      </c>
      <c r="C96" s="5" t="str">
        <f>IF(ISNA(VLOOKUP(A96&amp;D96,VCEPReports,4,FALSE)),"",VLOOKUP(A96&amp;D96,VCEPReports,4,FALSE))</f>
        <v/>
      </c>
      <c r="D96" s="5">
        <v>37375</v>
      </c>
      <c r="E96" s="5" t="s">
        <v>65</v>
      </c>
      <c r="F96" s="6">
        <v>42719</v>
      </c>
      <c r="G96" s="5" t="s">
        <v>222</v>
      </c>
      <c r="H96" s="5" t="s">
        <v>214</v>
      </c>
      <c r="I96" s="5" t="s">
        <v>215</v>
      </c>
      <c r="J96" s="5" t="s">
        <v>0</v>
      </c>
      <c r="K96" s="5" t="s">
        <v>1</v>
      </c>
      <c r="L96" s="5" t="s">
        <v>2</v>
      </c>
      <c r="M96" s="5" t="s">
        <v>933</v>
      </c>
      <c r="N96" s="5" t="s">
        <v>223</v>
      </c>
      <c r="O96" s="5" t="s">
        <v>174</v>
      </c>
      <c r="P96" s="5" t="s">
        <v>9</v>
      </c>
      <c r="XFD96"/>
    </row>
    <row r="97" spans="1:16 16384:16384" s="5" customFormat="1">
      <c r="A97" s="5" t="str">
        <f t="shared" si="2"/>
        <v>RAS</v>
      </c>
      <c r="B97" s="5" t="str">
        <f t="shared" si="3"/>
        <v>RAS40333</v>
      </c>
      <c r="C97" s="5" t="str">
        <f>IF(ISNA(VLOOKUP(A97&amp;D97,VCEPReports,4,FALSE)),"",VLOOKUP(A97&amp;D97,VCEPReports,4,FALSE))</f>
        <v/>
      </c>
      <c r="D97" s="5">
        <v>40333</v>
      </c>
      <c r="E97" s="5" t="s">
        <v>65</v>
      </c>
      <c r="F97" s="6">
        <v>42843</v>
      </c>
      <c r="G97" s="5" t="s">
        <v>219</v>
      </c>
      <c r="H97" s="5" t="s">
        <v>109</v>
      </c>
      <c r="I97" s="5" t="s">
        <v>110</v>
      </c>
      <c r="J97" s="5" t="s">
        <v>0</v>
      </c>
      <c r="K97" s="5" t="s">
        <v>1</v>
      </c>
      <c r="L97" s="5" t="s">
        <v>2</v>
      </c>
      <c r="M97" s="5" t="s">
        <v>915</v>
      </c>
      <c r="N97" s="5" t="s">
        <v>224</v>
      </c>
      <c r="O97" s="5" t="s">
        <v>165</v>
      </c>
      <c r="P97" s="5" t="s">
        <v>9</v>
      </c>
      <c r="XFD97"/>
    </row>
    <row r="98" spans="1:16 16384:16384" s="5" customFormat="1">
      <c r="A98" s="5" t="str">
        <f t="shared" si="2"/>
        <v>RAS</v>
      </c>
      <c r="B98" s="5" t="str">
        <f t="shared" si="3"/>
        <v>RAS40335</v>
      </c>
      <c r="C98" s="5" t="str">
        <f>IF(ISNA(VLOOKUP(A98&amp;D98,VCEPReports,4,FALSE)),"",VLOOKUP(A98&amp;D98,VCEPReports,4,FALSE))</f>
        <v/>
      </c>
      <c r="D98" s="5">
        <v>40335</v>
      </c>
      <c r="E98" s="5" t="s">
        <v>65</v>
      </c>
      <c r="F98" s="6">
        <v>42828</v>
      </c>
      <c r="G98" s="5" t="s">
        <v>225</v>
      </c>
      <c r="H98" s="5" t="s">
        <v>109</v>
      </c>
      <c r="I98" s="5" t="s">
        <v>110</v>
      </c>
      <c r="J98" s="5" t="s">
        <v>0</v>
      </c>
      <c r="K98" s="5" t="s">
        <v>1</v>
      </c>
      <c r="L98" s="5" t="s">
        <v>2</v>
      </c>
      <c r="M98" s="5" t="s">
        <v>915</v>
      </c>
      <c r="N98" s="5" t="s">
        <v>226</v>
      </c>
      <c r="O98" s="5" t="s">
        <v>165</v>
      </c>
      <c r="P98" s="5" t="s">
        <v>9</v>
      </c>
      <c r="XFD98"/>
    </row>
    <row r="99" spans="1:16 16384:16384" s="5" customFormat="1">
      <c r="A99" s="5" t="str">
        <f t="shared" si="2"/>
        <v>RAS</v>
      </c>
      <c r="B99" s="5" t="str">
        <f t="shared" si="3"/>
        <v>RAS40346</v>
      </c>
      <c r="C99" s="5" t="str">
        <f>IF(ISNA(VLOOKUP(A99&amp;D99,VCEPReports,4,FALSE)),"",VLOOKUP(A99&amp;D99,VCEPReports,4,FALSE))</f>
        <v/>
      </c>
      <c r="D99" s="5">
        <v>40346</v>
      </c>
      <c r="E99" s="5" t="s">
        <v>3</v>
      </c>
      <c r="F99" s="6">
        <v>42828</v>
      </c>
      <c r="G99" s="5" t="s">
        <v>227</v>
      </c>
      <c r="H99" s="5" t="s">
        <v>102</v>
      </c>
      <c r="I99" s="5" t="s">
        <v>103</v>
      </c>
      <c r="J99" s="5" t="s">
        <v>0</v>
      </c>
      <c r="K99" s="5" t="s">
        <v>1</v>
      </c>
      <c r="L99" s="5" t="s">
        <v>2</v>
      </c>
      <c r="M99" s="5" t="s">
        <v>915</v>
      </c>
      <c r="N99" s="5" t="s">
        <v>228</v>
      </c>
      <c r="O99" s="5" t="s">
        <v>165</v>
      </c>
      <c r="P99" s="5" t="s">
        <v>9</v>
      </c>
      <c r="XFD99"/>
    </row>
    <row r="100" spans="1:16 16384:16384" s="5" customFormat="1">
      <c r="A100" s="5" t="str">
        <f t="shared" si="2"/>
        <v>RAS</v>
      </c>
      <c r="B100" s="5" t="str">
        <f t="shared" si="3"/>
        <v>RAS40360</v>
      </c>
      <c r="C100" s="5" t="str">
        <f>IF(ISNA(VLOOKUP(A100&amp;D100,VCEPReports,4,FALSE)),"",VLOOKUP(A100&amp;D100,VCEPReports,4,FALSE))</f>
        <v/>
      </c>
      <c r="D100" s="5">
        <v>40360</v>
      </c>
      <c r="E100" s="5" t="s">
        <v>65</v>
      </c>
      <c r="F100" s="6">
        <v>42828</v>
      </c>
      <c r="G100" s="5" t="s">
        <v>229</v>
      </c>
      <c r="H100" s="5" t="s">
        <v>109</v>
      </c>
      <c r="I100" s="5" t="s">
        <v>110</v>
      </c>
      <c r="J100" s="5" t="s">
        <v>0</v>
      </c>
      <c r="K100" s="5" t="s">
        <v>1</v>
      </c>
      <c r="L100" s="5" t="s">
        <v>2</v>
      </c>
      <c r="M100" s="5" t="s">
        <v>915</v>
      </c>
      <c r="N100" s="5" t="s">
        <v>230</v>
      </c>
      <c r="O100" s="5" t="s">
        <v>165</v>
      </c>
      <c r="P100" s="5" t="s">
        <v>9</v>
      </c>
      <c r="XFD100"/>
    </row>
    <row r="101" spans="1:16 16384:16384" s="5" customFormat="1">
      <c r="A101" s="5" t="str">
        <f t="shared" si="2"/>
        <v>RAS</v>
      </c>
      <c r="B101" s="5" t="str">
        <f t="shared" si="3"/>
        <v>RAS40362</v>
      </c>
      <c r="C101" s="5" t="str">
        <f>IF(ISNA(VLOOKUP(A101&amp;D101,VCEPReports,4,FALSE)),"",VLOOKUP(A101&amp;D101,VCEPReports,4,FALSE))</f>
        <v/>
      </c>
      <c r="D101" s="5">
        <v>40362</v>
      </c>
      <c r="E101" s="5" t="s">
        <v>65</v>
      </c>
      <c r="F101" s="6">
        <v>42843</v>
      </c>
      <c r="G101" s="5" t="s">
        <v>219</v>
      </c>
      <c r="H101" s="5" t="s">
        <v>109</v>
      </c>
      <c r="I101" s="5" t="s">
        <v>110</v>
      </c>
      <c r="J101" s="5" t="s">
        <v>0</v>
      </c>
      <c r="K101" s="5" t="s">
        <v>1</v>
      </c>
      <c r="L101" s="5" t="s">
        <v>2</v>
      </c>
      <c r="M101" s="5" t="s">
        <v>915</v>
      </c>
      <c r="N101" s="5" t="s">
        <v>231</v>
      </c>
      <c r="O101" s="5" t="s">
        <v>165</v>
      </c>
      <c r="P101" s="5" t="s">
        <v>9</v>
      </c>
      <c r="XFD101"/>
    </row>
    <row r="102" spans="1:16 16384:16384" s="5" customFormat="1">
      <c r="A102" s="5" t="str">
        <f t="shared" si="2"/>
        <v>RAS</v>
      </c>
      <c r="B102" s="5" t="str">
        <f t="shared" si="3"/>
        <v>RAS40363</v>
      </c>
      <c r="C102" s="5" t="str">
        <f>IF(ISNA(VLOOKUP(A102&amp;D102,VCEPReports,4,FALSE)),"",VLOOKUP(A102&amp;D102,VCEPReports,4,FALSE))</f>
        <v/>
      </c>
      <c r="D102" s="5">
        <v>40363</v>
      </c>
      <c r="E102" s="5" t="s">
        <v>65</v>
      </c>
      <c r="F102" s="6">
        <v>42843</v>
      </c>
      <c r="G102" s="5" t="s">
        <v>219</v>
      </c>
      <c r="H102" s="5" t="s">
        <v>109</v>
      </c>
      <c r="I102" s="5" t="s">
        <v>110</v>
      </c>
      <c r="J102" s="5" t="s">
        <v>0</v>
      </c>
      <c r="K102" s="5" t="s">
        <v>1</v>
      </c>
      <c r="L102" s="5" t="s">
        <v>2</v>
      </c>
      <c r="M102" s="5" t="s">
        <v>915</v>
      </c>
      <c r="N102" s="5" t="s">
        <v>232</v>
      </c>
      <c r="O102" s="5" t="s">
        <v>165</v>
      </c>
      <c r="P102" s="5" t="s">
        <v>9</v>
      </c>
      <c r="XFD102"/>
    </row>
    <row r="103" spans="1:16 16384:16384" s="5" customFormat="1">
      <c r="A103" s="5" t="str">
        <f t="shared" si="2"/>
        <v>RAS</v>
      </c>
      <c r="B103" s="5" t="str">
        <f t="shared" si="3"/>
        <v>RAS40380</v>
      </c>
      <c r="C103" s="5" t="str">
        <f>IF(ISNA(VLOOKUP(A103&amp;D103,VCEPReports,4,FALSE)),"",VLOOKUP(A103&amp;D103,VCEPReports,4,FALSE))</f>
        <v/>
      </c>
      <c r="D103" s="5">
        <v>40380</v>
      </c>
      <c r="E103" s="5" t="s">
        <v>24</v>
      </c>
      <c r="F103" s="6">
        <v>42828</v>
      </c>
      <c r="G103" s="5" t="s">
        <v>233</v>
      </c>
      <c r="H103" s="5" t="s">
        <v>109</v>
      </c>
      <c r="I103" s="5" t="s">
        <v>110</v>
      </c>
      <c r="J103" s="5" t="s">
        <v>0</v>
      </c>
      <c r="K103" s="5" t="s">
        <v>1</v>
      </c>
      <c r="L103" s="5" t="s">
        <v>2</v>
      </c>
      <c r="M103" s="5" t="s">
        <v>915</v>
      </c>
      <c r="N103" s="5" t="s">
        <v>234</v>
      </c>
      <c r="O103" s="5" t="s">
        <v>165</v>
      </c>
      <c r="P103" s="5" t="s">
        <v>9</v>
      </c>
      <c r="XFD103"/>
    </row>
    <row r="104" spans="1:16 16384:16384" s="5" customFormat="1">
      <c r="A104" s="5" t="str">
        <f t="shared" si="2"/>
        <v>RAS</v>
      </c>
      <c r="B104" s="5" t="str">
        <f t="shared" si="3"/>
        <v>RAS40387</v>
      </c>
      <c r="C104" s="5" t="str">
        <f>IF(ISNA(VLOOKUP(A104&amp;D104,VCEPReports,4,FALSE)),"",VLOOKUP(A104&amp;D104,VCEPReports,4,FALSE))</f>
        <v/>
      </c>
      <c r="D104" s="5">
        <v>40387</v>
      </c>
      <c r="E104" s="5" t="s">
        <v>3</v>
      </c>
      <c r="F104" s="6">
        <v>42828</v>
      </c>
      <c r="G104" s="5" t="s">
        <v>235</v>
      </c>
      <c r="H104" s="5" t="s">
        <v>109</v>
      </c>
      <c r="I104" s="5" t="s">
        <v>110</v>
      </c>
      <c r="J104" s="5" t="s">
        <v>0</v>
      </c>
      <c r="K104" s="5" t="s">
        <v>1</v>
      </c>
      <c r="L104" s="5" t="s">
        <v>2</v>
      </c>
      <c r="M104" s="5" t="s">
        <v>915</v>
      </c>
      <c r="N104" s="5" t="s">
        <v>236</v>
      </c>
      <c r="O104" s="5" t="s">
        <v>165</v>
      </c>
      <c r="P104" s="5" t="s">
        <v>9</v>
      </c>
      <c r="XFD104"/>
    </row>
    <row r="105" spans="1:16 16384:16384" s="5" customFormat="1">
      <c r="A105" s="5" t="str">
        <f t="shared" si="2"/>
        <v>RAS</v>
      </c>
      <c r="B105" s="5" t="str">
        <f t="shared" si="3"/>
        <v>RAS40391</v>
      </c>
      <c r="C105" s="5" t="str">
        <f>IF(ISNA(VLOOKUP(A105&amp;D105,VCEPReports,4,FALSE)),"",VLOOKUP(A105&amp;D105,VCEPReports,4,FALSE))</f>
        <v/>
      </c>
      <c r="D105" s="5">
        <v>40391</v>
      </c>
      <c r="E105" s="5" t="s">
        <v>65</v>
      </c>
      <c r="F105" s="6">
        <v>42843</v>
      </c>
      <c r="G105" s="5" t="s">
        <v>219</v>
      </c>
      <c r="H105" s="5" t="s">
        <v>109</v>
      </c>
      <c r="I105" s="5" t="s">
        <v>110</v>
      </c>
      <c r="J105" s="5" t="s">
        <v>0</v>
      </c>
      <c r="K105" s="5" t="s">
        <v>1</v>
      </c>
      <c r="L105" s="5" t="s">
        <v>2</v>
      </c>
      <c r="M105" s="5" t="s">
        <v>915</v>
      </c>
      <c r="N105" s="5" t="s">
        <v>237</v>
      </c>
      <c r="O105" s="5" t="s">
        <v>165</v>
      </c>
      <c r="P105" s="5" t="s">
        <v>9</v>
      </c>
      <c r="XFD105"/>
    </row>
    <row r="106" spans="1:16 16384:16384" s="5" customFormat="1">
      <c r="A106" s="5" t="str">
        <f t="shared" si="2"/>
        <v>RAS</v>
      </c>
      <c r="B106" s="5" t="str">
        <f t="shared" si="3"/>
        <v>RAS40399</v>
      </c>
      <c r="C106" s="5" t="str">
        <f>IF(ISNA(VLOOKUP(A106&amp;D106,VCEPReports,4,FALSE)),"",VLOOKUP(A106&amp;D106,VCEPReports,4,FALSE))</f>
        <v/>
      </c>
      <c r="D106" s="5">
        <v>40399</v>
      </c>
      <c r="E106" s="5" t="s">
        <v>65</v>
      </c>
      <c r="F106" s="6">
        <v>42843</v>
      </c>
      <c r="G106" s="5" t="s">
        <v>219</v>
      </c>
      <c r="H106" s="5" t="s">
        <v>109</v>
      </c>
      <c r="I106" s="5" t="s">
        <v>110</v>
      </c>
      <c r="J106" s="5" t="s">
        <v>0</v>
      </c>
      <c r="K106" s="5" t="s">
        <v>1</v>
      </c>
      <c r="L106" s="5" t="s">
        <v>2</v>
      </c>
      <c r="M106" s="5" t="s">
        <v>915</v>
      </c>
      <c r="N106" s="5" t="s">
        <v>238</v>
      </c>
      <c r="O106" s="5" t="s">
        <v>165</v>
      </c>
      <c r="P106" s="5" t="s">
        <v>9</v>
      </c>
      <c r="XFD106"/>
    </row>
    <row r="107" spans="1:16 16384:16384" s="5" customFormat="1">
      <c r="A107" s="5" t="str">
        <f t="shared" si="2"/>
        <v>RAS</v>
      </c>
      <c r="B107" s="5" t="str">
        <f t="shared" si="3"/>
        <v>RAS40431</v>
      </c>
      <c r="C107" s="5" t="str">
        <f>IF(ISNA(VLOOKUP(A107&amp;D107,VCEPReports,4,FALSE)),"",VLOOKUP(A107&amp;D107,VCEPReports,4,FALSE))</f>
        <v/>
      </c>
      <c r="D107" s="5">
        <v>40431</v>
      </c>
      <c r="E107" s="5" t="s">
        <v>65</v>
      </c>
      <c r="F107" s="6">
        <v>42828</v>
      </c>
      <c r="G107" s="5" t="s">
        <v>239</v>
      </c>
      <c r="H107" s="5" t="s">
        <v>109</v>
      </c>
      <c r="I107" s="5" t="s">
        <v>110</v>
      </c>
      <c r="J107" s="5" t="s">
        <v>0</v>
      </c>
      <c r="K107" s="5" t="s">
        <v>1</v>
      </c>
      <c r="L107" s="5" t="s">
        <v>2</v>
      </c>
      <c r="M107" s="5" t="s">
        <v>915</v>
      </c>
      <c r="N107" s="5" t="s">
        <v>240</v>
      </c>
      <c r="O107" s="5" t="s">
        <v>131</v>
      </c>
      <c r="P107" s="5" t="s">
        <v>9</v>
      </c>
      <c r="XFD107"/>
    </row>
    <row r="108" spans="1:16 16384:16384" s="5" customFormat="1">
      <c r="A108" s="5" t="str">
        <f t="shared" si="2"/>
        <v>RAS</v>
      </c>
      <c r="B108" s="5" t="str">
        <f t="shared" si="3"/>
        <v>RAS40435</v>
      </c>
      <c r="C108" s="5" t="str">
        <f>IF(ISNA(VLOOKUP(A108&amp;D108,VCEPReports,4,FALSE)),"",VLOOKUP(A108&amp;D108,VCEPReports,4,FALSE))</f>
        <v/>
      </c>
      <c r="D108" s="5">
        <v>40435</v>
      </c>
      <c r="E108" s="5" t="s">
        <v>24</v>
      </c>
      <c r="F108" s="6">
        <v>42828</v>
      </c>
      <c r="G108" s="5" t="s">
        <v>241</v>
      </c>
      <c r="H108" s="5" t="s">
        <v>128</v>
      </c>
      <c r="I108" s="5" t="s">
        <v>129</v>
      </c>
      <c r="J108" s="5" t="s">
        <v>0</v>
      </c>
      <c r="K108" s="5" t="s">
        <v>1</v>
      </c>
      <c r="L108" s="5" t="s">
        <v>2</v>
      </c>
      <c r="M108" s="5" t="s">
        <v>915</v>
      </c>
      <c r="N108" s="5" t="s">
        <v>242</v>
      </c>
      <c r="O108" s="5" t="s">
        <v>131</v>
      </c>
      <c r="P108" s="5" t="s">
        <v>9</v>
      </c>
      <c r="XFD108"/>
    </row>
    <row r="109" spans="1:16 16384:16384" s="5" customFormat="1">
      <c r="A109" s="5" t="str">
        <f t="shared" si="2"/>
        <v>RAS</v>
      </c>
      <c r="B109" s="5" t="str">
        <f t="shared" si="3"/>
        <v>RAS40437</v>
      </c>
      <c r="C109" s="5" t="str">
        <f>IF(ISNA(VLOOKUP(A109&amp;D109,VCEPReports,4,FALSE)),"",VLOOKUP(A109&amp;D109,VCEPReports,4,FALSE))</f>
        <v/>
      </c>
      <c r="D109" s="5">
        <v>40437</v>
      </c>
      <c r="E109" s="5" t="s">
        <v>65</v>
      </c>
      <c r="F109" s="6">
        <v>42828</v>
      </c>
      <c r="G109" s="5" t="s">
        <v>243</v>
      </c>
      <c r="H109" s="5" t="s">
        <v>109</v>
      </c>
      <c r="I109" s="5" t="s">
        <v>110</v>
      </c>
      <c r="J109" s="5" t="s">
        <v>0</v>
      </c>
      <c r="K109" s="5" t="s">
        <v>1</v>
      </c>
      <c r="L109" s="5" t="s">
        <v>2</v>
      </c>
      <c r="M109" s="5" t="s">
        <v>915</v>
      </c>
      <c r="N109" s="5" t="s">
        <v>244</v>
      </c>
      <c r="O109" s="5" t="s">
        <v>131</v>
      </c>
      <c r="P109" s="5" t="s">
        <v>9</v>
      </c>
      <c r="XFD109"/>
    </row>
    <row r="110" spans="1:16 16384:16384" s="5" customFormat="1">
      <c r="A110" s="5" t="str">
        <f t="shared" si="2"/>
        <v>RAS</v>
      </c>
      <c r="B110" s="5" t="str">
        <f t="shared" si="3"/>
        <v>RAS40439</v>
      </c>
      <c r="C110" s="5" t="str">
        <f>IF(ISNA(VLOOKUP(A110&amp;D110,VCEPReports,4,FALSE)),"",VLOOKUP(A110&amp;D110,VCEPReports,4,FALSE))</f>
        <v/>
      </c>
      <c r="D110" s="5">
        <v>40439</v>
      </c>
      <c r="E110" s="5" t="s">
        <v>86</v>
      </c>
      <c r="F110" s="6">
        <v>42828</v>
      </c>
      <c r="G110" s="5" t="s">
        <v>245</v>
      </c>
      <c r="H110" s="5" t="s">
        <v>128</v>
      </c>
      <c r="I110" s="5" t="s">
        <v>129</v>
      </c>
      <c r="J110" s="5" t="s">
        <v>0</v>
      </c>
      <c r="K110" s="5" t="s">
        <v>1</v>
      </c>
      <c r="L110" s="5" t="s">
        <v>2</v>
      </c>
      <c r="M110" s="5" t="s">
        <v>915</v>
      </c>
      <c r="N110" s="5" t="s">
        <v>246</v>
      </c>
      <c r="O110" s="5" t="s">
        <v>131</v>
      </c>
      <c r="P110" s="5" t="s">
        <v>9</v>
      </c>
      <c r="XFD110"/>
    </row>
    <row r="111" spans="1:16 16384:16384" s="5" customFormat="1">
      <c r="A111" s="5" t="str">
        <f t="shared" si="2"/>
        <v>RAS</v>
      </c>
      <c r="B111" s="5" t="str">
        <f t="shared" si="3"/>
        <v>RAS40440</v>
      </c>
      <c r="C111" s="5" t="str">
        <f>IF(ISNA(VLOOKUP(A111&amp;D111,VCEPReports,4,FALSE)),"",VLOOKUP(A111&amp;D111,VCEPReports,4,FALSE))</f>
        <v/>
      </c>
      <c r="D111" s="5">
        <v>40440</v>
      </c>
      <c r="E111" s="5" t="s">
        <v>65</v>
      </c>
      <c r="F111" s="6">
        <v>42843</v>
      </c>
      <c r="G111" s="5" t="s">
        <v>219</v>
      </c>
      <c r="H111" s="5" t="s">
        <v>109</v>
      </c>
      <c r="I111" s="5" t="s">
        <v>110</v>
      </c>
      <c r="J111" s="5" t="s">
        <v>0</v>
      </c>
      <c r="K111" s="5" t="s">
        <v>1</v>
      </c>
      <c r="L111" s="5" t="s">
        <v>2</v>
      </c>
      <c r="M111" s="5" t="s">
        <v>915</v>
      </c>
      <c r="N111" s="5" t="s">
        <v>247</v>
      </c>
      <c r="O111" s="5" t="s">
        <v>131</v>
      </c>
      <c r="P111" s="5" t="s">
        <v>9</v>
      </c>
      <c r="XFD111"/>
    </row>
    <row r="112" spans="1:16 16384:16384" s="5" customFormat="1">
      <c r="A112" s="5" t="str">
        <f t="shared" si="2"/>
        <v>RAS</v>
      </c>
      <c r="B112" s="5" t="str">
        <f t="shared" si="3"/>
        <v>RAS40441</v>
      </c>
      <c r="C112" s="5" t="str">
        <f>IF(ISNA(VLOOKUP(A112&amp;D112,VCEPReports,4,FALSE)),"",VLOOKUP(A112&amp;D112,VCEPReports,4,FALSE))</f>
        <v/>
      </c>
      <c r="D112" s="5">
        <v>40441</v>
      </c>
      <c r="E112" s="5" t="s">
        <v>65</v>
      </c>
      <c r="F112" s="6">
        <v>42843</v>
      </c>
      <c r="G112" s="5" t="s">
        <v>219</v>
      </c>
      <c r="H112" s="5" t="s">
        <v>109</v>
      </c>
      <c r="I112" s="5" t="s">
        <v>110</v>
      </c>
      <c r="J112" s="5" t="s">
        <v>0</v>
      </c>
      <c r="K112" s="5" t="s">
        <v>1</v>
      </c>
      <c r="L112" s="5" t="s">
        <v>2</v>
      </c>
      <c r="M112" s="5" t="s">
        <v>915</v>
      </c>
      <c r="N112" s="5" t="s">
        <v>248</v>
      </c>
      <c r="O112" s="5" t="s">
        <v>131</v>
      </c>
      <c r="P112" s="5" t="s">
        <v>9</v>
      </c>
      <c r="XFD112"/>
    </row>
    <row r="113" spans="1:16 16384:16384" s="5" customFormat="1">
      <c r="A113" s="5" t="str">
        <f t="shared" si="2"/>
        <v>RAS</v>
      </c>
      <c r="B113" s="5" t="str">
        <f t="shared" si="3"/>
        <v>RAS40442</v>
      </c>
      <c r="C113" s="5" t="str">
        <f>IF(ISNA(VLOOKUP(A113&amp;D113,VCEPReports,4,FALSE)),"",VLOOKUP(A113&amp;D113,VCEPReports,4,FALSE))</f>
        <v/>
      </c>
      <c r="D113" s="5">
        <v>40442</v>
      </c>
      <c r="E113" s="5" t="s">
        <v>65</v>
      </c>
      <c r="F113" s="6">
        <v>42843</v>
      </c>
      <c r="G113" s="5" t="s">
        <v>219</v>
      </c>
      <c r="H113" s="5" t="s">
        <v>109</v>
      </c>
      <c r="I113" s="5" t="s">
        <v>110</v>
      </c>
      <c r="J113" s="5" t="s">
        <v>0</v>
      </c>
      <c r="K113" s="5" t="s">
        <v>1</v>
      </c>
      <c r="L113" s="5" t="s">
        <v>2</v>
      </c>
      <c r="M113" s="5" t="s">
        <v>915</v>
      </c>
      <c r="N113" s="5" t="s">
        <v>249</v>
      </c>
      <c r="O113" s="5" t="s">
        <v>131</v>
      </c>
      <c r="P113" s="5" t="s">
        <v>9</v>
      </c>
      <c r="XFD113"/>
    </row>
    <row r="114" spans="1:16 16384:16384" s="5" customFormat="1">
      <c r="A114" s="5" t="str">
        <f t="shared" si="2"/>
        <v>RAS</v>
      </c>
      <c r="B114" s="5" t="str">
        <f t="shared" si="3"/>
        <v>RAS40446</v>
      </c>
      <c r="C114" s="5" t="str">
        <f>IF(ISNA(VLOOKUP(A114&amp;D114,VCEPReports,4,FALSE)),"",VLOOKUP(A114&amp;D114,VCEPReports,4,FALSE))</f>
        <v/>
      </c>
      <c r="D114" s="5">
        <v>40446</v>
      </c>
      <c r="E114" s="5" t="s">
        <v>65</v>
      </c>
      <c r="F114" s="6">
        <v>42843</v>
      </c>
      <c r="G114" s="5" t="s">
        <v>219</v>
      </c>
      <c r="H114" s="5" t="s">
        <v>109</v>
      </c>
      <c r="I114" s="5" t="s">
        <v>110</v>
      </c>
      <c r="J114" s="5" t="s">
        <v>0</v>
      </c>
      <c r="K114" s="5" t="s">
        <v>1</v>
      </c>
      <c r="L114" s="5" t="s">
        <v>2</v>
      </c>
      <c r="M114" s="5" t="s">
        <v>915</v>
      </c>
      <c r="N114" s="5" t="s">
        <v>250</v>
      </c>
      <c r="O114" s="5" t="s">
        <v>131</v>
      </c>
      <c r="P114" s="5" t="s">
        <v>9</v>
      </c>
      <c r="XFD114"/>
    </row>
    <row r="115" spans="1:16 16384:16384" s="5" customFormat="1">
      <c r="A115" s="5" t="str">
        <f t="shared" si="2"/>
        <v>RAS</v>
      </c>
      <c r="B115" s="5" t="str">
        <f t="shared" si="3"/>
        <v>RAS40448</v>
      </c>
      <c r="C115" s="5" t="str">
        <f>IF(ISNA(VLOOKUP(A115&amp;D115,VCEPReports,4,FALSE)),"",VLOOKUP(A115&amp;D115,VCEPReports,4,FALSE))</f>
        <v/>
      </c>
      <c r="D115" s="5">
        <v>40448</v>
      </c>
      <c r="E115" s="5" t="s">
        <v>65</v>
      </c>
      <c r="F115" s="6">
        <v>42843</v>
      </c>
      <c r="G115" s="5" t="s">
        <v>219</v>
      </c>
      <c r="H115" s="5" t="s">
        <v>109</v>
      </c>
      <c r="I115" s="5" t="s">
        <v>110</v>
      </c>
      <c r="J115" s="5" t="s">
        <v>0</v>
      </c>
      <c r="K115" s="5" t="s">
        <v>1</v>
      </c>
      <c r="L115" s="5" t="s">
        <v>2</v>
      </c>
      <c r="M115" s="5" t="s">
        <v>915</v>
      </c>
      <c r="N115" s="5" t="s">
        <v>251</v>
      </c>
      <c r="O115" s="5" t="s">
        <v>131</v>
      </c>
      <c r="P115" s="5" t="s">
        <v>9</v>
      </c>
      <c r="XFD115"/>
    </row>
    <row r="116" spans="1:16 16384:16384" s="5" customFormat="1">
      <c r="A116" s="5" t="str">
        <f t="shared" si="2"/>
        <v>RAS</v>
      </c>
      <c r="B116" s="5" t="str">
        <f t="shared" si="3"/>
        <v>RAS40452</v>
      </c>
      <c r="C116" s="5" t="str">
        <f>IF(ISNA(VLOOKUP(A116&amp;D116,VCEPReports,4,FALSE)),"",VLOOKUP(A116&amp;D116,VCEPReports,4,FALSE))</f>
        <v/>
      </c>
      <c r="D116" s="5">
        <v>40452</v>
      </c>
      <c r="E116" s="5" t="s">
        <v>3</v>
      </c>
      <c r="F116" s="6">
        <v>42828</v>
      </c>
      <c r="G116" s="5" t="s">
        <v>252</v>
      </c>
      <c r="H116" s="5" t="s">
        <v>118</v>
      </c>
      <c r="I116" s="5" t="s">
        <v>119</v>
      </c>
      <c r="J116" s="5" t="s">
        <v>0</v>
      </c>
      <c r="K116" s="5" t="s">
        <v>1</v>
      </c>
      <c r="L116" s="5" t="s">
        <v>2</v>
      </c>
      <c r="M116" s="5" t="s">
        <v>915</v>
      </c>
      <c r="N116" s="5" t="s">
        <v>253</v>
      </c>
      <c r="O116" s="5" t="s">
        <v>116</v>
      </c>
      <c r="P116" s="5" t="s">
        <v>9</v>
      </c>
      <c r="XFD116"/>
    </row>
    <row r="117" spans="1:16 16384:16384" s="5" customFormat="1">
      <c r="A117" s="5" t="str">
        <f t="shared" si="2"/>
        <v>RAS</v>
      </c>
      <c r="B117" s="5" t="str">
        <f t="shared" si="3"/>
        <v>RAS40454</v>
      </c>
      <c r="C117" s="5" t="str">
        <f>IF(ISNA(VLOOKUP(A117&amp;D117,VCEPReports,4,FALSE)),"",VLOOKUP(A117&amp;D117,VCEPReports,4,FALSE))</f>
        <v/>
      </c>
      <c r="D117" s="5">
        <v>40454</v>
      </c>
      <c r="E117" s="5" t="s">
        <v>3</v>
      </c>
      <c r="F117" s="6">
        <v>42828</v>
      </c>
      <c r="G117" s="5" t="s">
        <v>254</v>
      </c>
      <c r="H117" s="5" t="s">
        <v>118</v>
      </c>
      <c r="I117" s="5" t="s">
        <v>119</v>
      </c>
      <c r="J117" s="5" t="s">
        <v>0</v>
      </c>
      <c r="K117" s="5" t="s">
        <v>1</v>
      </c>
      <c r="L117" s="5" t="s">
        <v>2</v>
      </c>
      <c r="M117" s="5" t="s">
        <v>915</v>
      </c>
      <c r="N117" s="5" t="s">
        <v>255</v>
      </c>
      <c r="O117" s="5" t="s">
        <v>116</v>
      </c>
      <c r="P117" s="5" t="s">
        <v>9</v>
      </c>
      <c r="XFD117"/>
    </row>
    <row r="118" spans="1:16 16384:16384" s="5" customFormat="1">
      <c r="A118" s="5" t="str">
        <f t="shared" si="2"/>
        <v>RAS</v>
      </c>
      <c r="B118" s="5" t="str">
        <f t="shared" si="3"/>
        <v>RAS40484</v>
      </c>
      <c r="C118" s="5" t="str">
        <f>IF(ISNA(VLOOKUP(A118&amp;D118,VCEPReports,4,FALSE)),"",VLOOKUP(A118&amp;D118,VCEPReports,4,FALSE))</f>
        <v/>
      </c>
      <c r="D118" s="5">
        <v>40484</v>
      </c>
      <c r="E118" s="5" t="s">
        <v>24</v>
      </c>
      <c r="F118" s="6">
        <v>42828</v>
      </c>
      <c r="G118" s="5" t="s">
        <v>256</v>
      </c>
      <c r="H118" s="5" t="s">
        <v>118</v>
      </c>
      <c r="I118" s="5" t="s">
        <v>119</v>
      </c>
      <c r="J118" s="5" t="s">
        <v>0</v>
      </c>
      <c r="K118" s="5" t="s">
        <v>1</v>
      </c>
      <c r="L118" s="5" t="s">
        <v>2</v>
      </c>
      <c r="M118" s="5" t="s">
        <v>915</v>
      </c>
      <c r="N118" s="5" t="s">
        <v>257</v>
      </c>
      <c r="O118" s="5" t="s">
        <v>143</v>
      </c>
      <c r="P118" s="5" t="s">
        <v>9</v>
      </c>
      <c r="XFD118"/>
    </row>
    <row r="119" spans="1:16 16384:16384" s="5" customFormat="1">
      <c r="A119" s="5" t="str">
        <f t="shared" si="2"/>
        <v>RAS</v>
      </c>
      <c r="B119" s="5" t="str">
        <f t="shared" si="3"/>
        <v>RAS40504</v>
      </c>
      <c r="C119" s="5" t="str">
        <f>IF(ISNA(VLOOKUP(A119&amp;D119,VCEPReports,4,FALSE)),"",VLOOKUP(A119&amp;D119,VCEPReports,4,FALSE))</f>
        <v/>
      </c>
      <c r="D119" s="5">
        <v>40504</v>
      </c>
      <c r="E119" s="5" t="s">
        <v>86</v>
      </c>
      <c r="F119" s="6">
        <v>42828</v>
      </c>
      <c r="G119" s="5" t="s">
        <v>258</v>
      </c>
      <c r="H119" s="5" t="s">
        <v>109</v>
      </c>
      <c r="I119" s="5" t="s">
        <v>110</v>
      </c>
      <c r="J119" s="5" t="s">
        <v>0</v>
      </c>
      <c r="K119" s="5" t="s">
        <v>1</v>
      </c>
      <c r="L119" s="5" t="s">
        <v>2</v>
      </c>
      <c r="M119" s="5" t="s">
        <v>915</v>
      </c>
      <c r="N119" s="5" t="s">
        <v>259</v>
      </c>
      <c r="O119" s="5" t="s">
        <v>143</v>
      </c>
      <c r="P119" s="5" t="s">
        <v>9</v>
      </c>
      <c r="XFD119"/>
    </row>
    <row r="120" spans="1:16 16384:16384" s="5" customFormat="1">
      <c r="A120" s="5" t="str">
        <f t="shared" si="2"/>
        <v>RAS</v>
      </c>
      <c r="B120" s="5" t="str">
        <f t="shared" si="3"/>
        <v>RAS40511</v>
      </c>
      <c r="C120" s="5" t="str">
        <f>IF(ISNA(VLOOKUP(A120&amp;D120,VCEPReports,4,FALSE)),"",VLOOKUP(A120&amp;D120,VCEPReports,4,FALSE))</f>
        <v/>
      </c>
      <c r="D120" s="5">
        <v>40511</v>
      </c>
      <c r="E120" s="5" t="s">
        <v>212</v>
      </c>
      <c r="F120" s="6">
        <v>42843</v>
      </c>
      <c r="G120" s="5" t="s">
        <v>260</v>
      </c>
      <c r="H120" s="5" t="s">
        <v>109</v>
      </c>
      <c r="I120" s="5" t="s">
        <v>110</v>
      </c>
      <c r="J120" s="5" t="s">
        <v>0</v>
      </c>
      <c r="K120" s="5" t="s">
        <v>1</v>
      </c>
      <c r="L120" s="5" t="s">
        <v>2</v>
      </c>
      <c r="M120" s="5" t="s">
        <v>915</v>
      </c>
      <c r="N120" s="5" t="s">
        <v>261</v>
      </c>
      <c r="O120" s="5" t="s">
        <v>143</v>
      </c>
      <c r="P120" s="5" t="s">
        <v>9</v>
      </c>
      <c r="XFD120"/>
    </row>
    <row r="121" spans="1:16 16384:16384" s="5" customFormat="1">
      <c r="A121" s="5" t="str">
        <f t="shared" si="2"/>
        <v>RAS</v>
      </c>
      <c r="B121" s="5" t="str">
        <f t="shared" si="3"/>
        <v>RAS40513</v>
      </c>
      <c r="C121" s="5" t="str">
        <f>IF(ISNA(VLOOKUP(A121&amp;D121,VCEPReports,4,FALSE)),"",VLOOKUP(A121&amp;D121,VCEPReports,4,FALSE))</f>
        <v/>
      </c>
      <c r="D121" s="5">
        <v>40513</v>
      </c>
      <c r="E121" s="5" t="s">
        <v>3</v>
      </c>
      <c r="F121" s="6">
        <v>42828</v>
      </c>
      <c r="G121" s="5" t="s">
        <v>262</v>
      </c>
      <c r="H121" s="5" t="s">
        <v>118</v>
      </c>
      <c r="I121" s="5" t="s">
        <v>119</v>
      </c>
      <c r="J121" s="5" t="s">
        <v>0</v>
      </c>
      <c r="K121" s="5" t="s">
        <v>1</v>
      </c>
      <c r="L121" s="5" t="s">
        <v>2</v>
      </c>
      <c r="M121" s="5" t="s">
        <v>915</v>
      </c>
      <c r="N121" s="5" t="s">
        <v>263</v>
      </c>
      <c r="O121" s="5" t="s">
        <v>143</v>
      </c>
      <c r="P121" s="5" t="s">
        <v>9</v>
      </c>
      <c r="XFD121"/>
    </row>
    <row r="122" spans="1:16 16384:16384" s="5" customFormat="1">
      <c r="A122" s="5" t="str">
        <f t="shared" si="2"/>
        <v>RAS</v>
      </c>
      <c r="B122" s="5" t="str">
        <f t="shared" si="3"/>
        <v>RAS40516</v>
      </c>
      <c r="C122" s="5" t="str">
        <f>IF(ISNA(VLOOKUP(A122&amp;D122,VCEPReports,4,FALSE)),"",VLOOKUP(A122&amp;D122,VCEPReports,4,FALSE))</f>
        <v/>
      </c>
      <c r="D122" s="5">
        <v>40516</v>
      </c>
      <c r="E122" s="5" t="s">
        <v>65</v>
      </c>
      <c r="F122" s="6">
        <v>42828</v>
      </c>
      <c r="G122" s="5" t="s">
        <v>264</v>
      </c>
      <c r="H122" s="5" t="s">
        <v>109</v>
      </c>
      <c r="I122" s="5" t="s">
        <v>110</v>
      </c>
      <c r="J122" s="5" t="s">
        <v>0</v>
      </c>
      <c r="K122" s="5" t="s">
        <v>1</v>
      </c>
      <c r="L122" s="5" t="s">
        <v>2</v>
      </c>
      <c r="M122" s="5" t="s">
        <v>915</v>
      </c>
      <c r="N122" s="5" t="s">
        <v>265</v>
      </c>
      <c r="O122" s="5" t="s">
        <v>143</v>
      </c>
      <c r="P122" s="5" t="s">
        <v>9</v>
      </c>
      <c r="XFD122"/>
    </row>
    <row r="123" spans="1:16 16384:16384" s="5" customFormat="1">
      <c r="A123" s="5" t="str">
        <f t="shared" si="2"/>
        <v>RAS</v>
      </c>
      <c r="B123" s="5" t="str">
        <f t="shared" si="3"/>
        <v>RAS40520</v>
      </c>
      <c r="C123" s="5" t="str">
        <f>IF(ISNA(VLOOKUP(A123&amp;D123,VCEPReports,4,FALSE)),"",VLOOKUP(A123&amp;D123,VCEPReports,4,FALSE))</f>
        <v/>
      </c>
      <c r="D123" s="5">
        <v>40520</v>
      </c>
      <c r="E123" s="5" t="s">
        <v>3</v>
      </c>
      <c r="F123" s="6">
        <v>42828</v>
      </c>
      <c r="G123" s="5" t="s">
        <v>266</v>
      </c>
      <c r="H123" s="5" t="s">
        <v>109</v>
      </c>
      <c r="I123" s="5" t="s">
        <v>110</v>
      </c>
      <c r="J123" s="5" t="s">
        <v>0</v>
      </c>
      <c r="K123" s="5" t="s">
        <v>1</v>
      </c>
      <c r="L123" s="5" t="s">
        <v>2</v>
      </c>
      <c r="M123" s="5" t="s">
        <v>915</v>
      </c>
      <c r="N123" s="5" t="s">
        <v>267</v>
      </c>
      <c r="O123" s="5" t="s">
        <v>143</v>
      </c>
      <c r="P123" s="5" t="s">
        <v>9</v>
      </c>
      <c r="XFD123"/>
    </row>
    <row r="124" spans="1:16 16384:16384" s="5" customFormat="1">
      <c r="A124" s="5" t="str">
        <f t="shared" si="2"/>
        <v>RAS</v>
      </c>
      <c r="B124" s="5" t="str">
        <f t="shared" si="3"/>
        <v>RAS40522</v>
      </c>
      <c r="C124" s="5" t="str">
        <f>IF(ISNA(VLOOKUP(A124&amp;D124,VCEPReports,4,FALSE)),"",VLOOKUP(A124&amp;D124,VCEPReports,4,FALSE))</f>
        <v/>
      </c>
      <c r="D124" s="5">
        <v>40522</v>
      </c>
      <c r="E124" s="5" t="s">
        <v>3</v>
      </c>
      <c r="F124" s="6">
        <v>42828</v>
      </c>
      <c r="G124" s="5" t="s">
        <v>268</v>
      </c>
      <c r="H124" s="5" t="s">
        <v>118</v>
      </c>
      <c r="I124" s="5" t="s">
        <v>119</v>
      </c>
      <c r="J124" s="5" t="s">
        <v>0</v>
      </c>
      <c r="K124" s="5" t="s">
        <v>1</v>
      </c>
      <c r="L124" s="5" t="s">
        <v>2</v>
      </c>
      <c r="M124" s="5" t="s">
        <v>915</v>
      </c>
      <c r="N124" s="5" t="s">
        <v>269</v>
      </c>
      <c r="O124" s="5" t="s">
        <v>143</v>
      </c>
      <c r="P124" s="5" t="s">
        <v>9</v>
      </c>
      <c r="XFD124"/>
    </row>
    <row r="125" spans="1:16 16384:16384" s="5" customFormat="1">
      <c r="A125" s="5" t="str">
        <f t="shared" si="2"/>
        <v>RAS</v>
      </c>
      <c r="B125" s="5" t="str">
        <f t="shared" si="3"/>
        <v>RAS40530</v>
      </c>
      <c r="C125" s="5" t="str">
        <f>IF(ISNA(VLOOKUP(A125&amp;D125,VCEPReports,4,FALSE)),"",VLOOKUP(A125&amp;D125,VCEPReports,4,FALSE))</f>
        <v/>
      </c>
      <c r="D125" s="5">
        <v>40530</v>
      </c>
      <c r="E125" s="5" t="s">
        <v>65</v>
      </c>
      <c r="F125" s="6">
        <v>42828</v>
      </c>
      <c r="G125" s="5" t="s">
        <v>270</v>
      </c>
      <c r="H125" s="5" t="s">
        <v>109</v>
      </c>
      <c r="I125" s="5" t="s">
        <v>110</v>
      </c>
      <c r="J125" s="5" t="s">
        <v>0</v>
      </c>
      <c r="K125" s="5" t="s">
        <v>1</v>
      </c>
      <c r="L125" s="5" t="s">
        <v>2</v>
      </c>
      <c r="M125" s="5" t="s">
        <v>915</v>
      </c>
      <c r="N125" s="5" t="s">
        <v>271</v>
      </c>
      <c r="O125" s="5" t="s">
        <v>143</v>
      </c>
      <c r="P125" s="5" t="s">
        <v>9</v>
      </c>
      <c r="XFD125"/>
    </row>
    <row r="126" spans="1:16 16384:16384" s="5" customFormat="1">
      <c r="A126" s="5" t="str">
        <f t="shared" si="2"/>
        <v>RAS</v>
      </c>
      <c r="B126" s="5" t="str">
        <f t="shared" si="3"/>
        <v>RAS40536</v>
      </c>
      <c r="C126" s="5" t="str">
        <f>IF(ISNA(VLOOKUP(A126&amp;D126,VCEPReports,4,FALSE)),"",VLOOKUP(A126&amp;D126,VCEPReports,4,FALSE))</f>
        <v/>
      </c>
      <c r="D126" s="5">
        <v>40536</v>
      </c>
      <c r="E126" s="5" t="s">
        <v>65</v>
      </c>
      <c r="F126" s="6">
        <v>42828</v>
      </c>
      <c r="G126" s="5" t="s">
        <v>272</v>
      </c>
      <c r="H126" s="5" t="s">
        <v>109</v>
      </c>
      <c r="I126" s="5" t="s">
        <v>110</v>
      </c>
      <c r="J126" s="5" t="s">
        <v>0</v>
      </c>
      <c r="K126" s="5" t="s">
        <v>1</v>
      </c>
      <c r="L126" s="5" t="s">
        <v>2</v>
      </c>
      <c r="M126" s="5" t="s">
        <v>915</v>
      </c>
      <c r="N126" s="5" t="s">
        <v>273</v>
      </c>
      <c r="O126" s="5" t="s">
        <v>143</v>
      </c>
      <c r="P126" s="5" t="s">
        <v>9</v>
      </c>
      <c r="XFD126"/>
    </row>
    <row r="127" spans="1:16 16384:16384" s="5" customFormat="1">
      <c r="A127" s="5" t="str">
        <f t="shared" si="2"/>
        <v>RAS</v>
      </c>
      <c r="B127" s="5" t="str">
        <f t="shared" si="3"/>
        <v>RAS40541</v>
      </c>
      <c r="C127" s="5" t="str">
        <f>IF(ISNA(VLOOKUP(A127&amp;D127,VCEPReports,4,FALSE)),"",VLOOKUP(A127&amp;D127,VCEPReports,4,FALSE))</f>
        <v/>
      </c>
      <c r="D127" s="5">
        <v>40541</v>
      </c>
      <c r="E127" s="5" t="s">
        <v>65</v>
      </c>
      <c r="F127" s="6">
        <v>42843</v>
      </c>
      <c r="G127" s="5" t="s">
        <v>219</v>
      </c>
      <c r="H127" s="5" t="s">
        <v>109</v>
      </c>
      <c r="I127" s="5" t="s">
        <v>110</v>
      </c>
      <c r="J127" s="5" t="s">
        <v>0</v>
      </c>
      <c r="K127" s="5" t="s">
        <v>1</v>
      </c>
      <c r="L127" s="5" t="s">
        <v>2</v>
      </c>
      <c r="M127" s="5" t="s">
        <v>915</v>
      </c>
      <c r="N127" s="5" t="s">
        <v>274</v>
      </c>
      <c r="O127" s="5" t="s">
        <v>143</v>
      </c>
      <c r="P127" s="5" t="s">
        <v>9</v>
      </c>
      <c r="XFD127"/>
    </row>
    <row r="128" spans="1:16 16384:16384" s="5" customFormat="1">
      <c r="A128" s="5" t="str">
        <f t="shared" si="2"/>
        <v>RAS</v>
      </c>
      <c r="B128" s="5" t="str">
        <f t="shared" si="3"/>
        <v>RAS40562</v>
      </c>
      <c r="C128" s="5" t="str">
        <f>IF(ISNA(VLOOKUP(A128&amp;D128,VCEPReports,4,FALSE)),"",VLOOKUP(A128&amp;D128,VCEPReports,4,FALSE))</f>
        <v/>
      </c>
      <c r="D128" s="5">
        <v>40562</v>
      </c>
      <c r="E128" s="5" t="s">
        <v>3</v>
      </c>
      <c r="F128" s="6">
        <v>42828</v>
      </c>
      <c r="G128" s="5" t="s">
        <v>275</v>
      </c>
      <c r="H128" s="5" t="s">
        <v>118</v>
      </c>
      <c r="I128" s="5" t="s">
        <v>119</v>
      </c>
      <c r="J128" s="5" t="s">
        <v>0</v>
      </c>
      <c r="K128" s="5" t="s">
        <v>1</v>
      </c>
      <c r="L128" s="5" t="s">
        <v>2</v>
      </c>
      <c r="M128" s="5" t="s">
        <v>915</v>
      </c>
      <c r="N128" s="5" t="s">
        <v>276</v>
      </c>
      <c r="O128" s="5" t="s">
        <v>143</v>
      </c>
      <c r="P128" s="5" t="s">
        <v>9</v>
      </c>
      <c r="XFD128"/>
    </row>
    <row r="129" spans="1:16 16384:16384" s="5" customFormat="1">
      <c r="A129" s="5" t="str">
        <f t="shared" si="2"/>
        <v>RAS</v>
      </c>
      <c r="B129" s="5" t="str">
        <f t="shared" si="3"/>
        <v>RAS40567</v>
      </c>
      <c r="C129" s="5" t="str">
        <f>IF(ISNA(VLOOKUP(A129&amp;D129,VCEPReports,4,FALSE)),"",VLOOKUP(A129&amp;D129,VCEPReports,4,FALSE))</f>
        <v/>
      </c>
      <c r="D129" s="5">
        <v>40567</v>
      </c>
      <c r="E129" s="5" t="s">
        <v>3</v>
      </c>
      <c r="F129" s="6">
        <v>42828</v>
      </c>
      <c r="G129" s="5" t="s">
        <v>277</v>
      </c>
      <c r="H129" s="5" t="s">
        <v>109</v>
      </c>
      <c r="I129" s="5" t="s">
        <v>110</v>
      </c>
      <c r="J129" s="5" t="s">
        <v>0</v>
      </c>
      <c r="K129" s="5" t="s">
        <v>1</v>
      </c>
      <c r="L129" s="5" t="s">
        <v>2</v>
      </c>
      <c r="M129" s="5" t="s">
        <v>915</v>
      </c>
      <c r="N129" s="5" t="s">
        <v>278</v>
      </c>
      <c r="O129" s="5" t="s">
        <v>143</v>
      </c>
      <c r="P129" s="5" t="s">
        <v>9</v>
      </c>
      <c r="XFD129"/>
    </row>
    <row r="130" spans="1:16 16384:16384" s="5" customFormat="1">
      <c r="A130" s="5" t="str">
        <f t="shared" ref="A130:A193" si="4">VLOOKUP(M130,VCEPs,2,FALSE)</f>
        <v>RAS</v>
      </c>
      <c r="B130" s="5" t="str">
        <f t="shared" si="3"/>
        <v>RAS40570</v>
      </c>
      <c r="C130" s="5" t="str">
        <f>IF(ISNA(VLOOKUP(A130&amp;D130,VCEPReports,4,FALSE)),"",VLOOKUP(A130&amp;D130,VCEPReports,4,FALSE))</f>
        <v/>
      </c>
      <c r="D130" s="5">
        <v>40570</v>
      </c>
      <c r="E130" s="5" t="s">
        <v>65</v>
      </c>
      <c r="F130" s="6">
        <v>42828</v>
      </c>
      <c r="G130" s="5" t="s">
        <v>279</v>
      </c>
      <c r="H130" s="5" t="s">
        <v>109</v>
      </c>
      <c r="I130" s="5" t="s">
        <v>110</v>
      </c>
      <c r="J130" s="5" t="s">
        <v>0</v>
      </c>
      <c r="K130" s="5" t="s">
        <v>1</v>
      </c>
      <c r="L130" s="5" t="s">
        <v>2</v>
      </c>
      <c r="M130" s="5" t="s">
        <v>915</v>
      </c>
      <c r="N130" s="5" t="s">
        <v>280</v>
      </c>
      <c r="O130" s="5" t="s">
        <v>143</v>
      </c>
      <c r="P130" s="5" t="s">
        <v>9</v>
      </c>
      <c r="XFD130"/>
    </row>
    <row r="131" spans="1:16 16384:16384" s="5" customFormat="1">
      <c r="A131" s="5" t="str">
        <f t="shared" si="4"/>
        <v>RAS</v>
      </c>
      <c r="B131" s="5" t="str">
        <f t="shared" ref="B131:B194" si="5">CONCATENATE(A131,D131)</f>
        <v>RAS40583</v>
      </c>
      <c r="C131" s="5" t="str">
        <f>IF(ISNA(VLOOKUP(A131&amp;D131,VCEPReports,4,FALSE)),"",VLOOKUP(A131&amp;D131,VCEPReports,4,FALSE))</f>
        <v/>
      </c>
      <c r="D131" s="5">
        <v>40583</v>
      </c>
      <c r="E131" s="5" t="s">
        <v>212</v>
      </c>
      <c r="F131" s="6">
        <v>42828</v>
      </c>
      <c r="G131" s="5" t="s">
        <v>281</v>
      </c>
      <c r="H131" s="5" t="s">
        <v>109</v>
      </c>
      <c r="I131" s="5" t="s">
        <v>110</v>
      </c>
      <c r="J131" s="5" t="s">
        <v>0</v>
      </c>
      <c r="K131" s="5" t="s">
        <v>1</v>
      </c>
      <c r="L131" s="5" t="s">
        <v>2</v>
      </c>
      <c r="M131" s="5" t="s">
        <v>915</v>
      </c>
      <c r="N131" s="5" t="s">
        <v>282</v>
      </c>
      <c r="O131" s="5" t="s">
        <v>158</v>
      </c>
      <c r="P131" s="5" t="s">
        <v>9</v>
      </c>
      <c r="XFD131"/>
    </row>
    <row r="132" spans="1:16 16384:16384" s="5" customFormat="1">
      <c r="A132" s="5" t="str">
        <f t="shared" si="4"/>
        <v>RAS</v>
      </c>
      <c r="B132" s="5" t="str">
        <f t="shared" si="5"/>
        <v>RAS40585</v>
      </c>
      <c r="C132" s="5" t="str">
        <f>IF(ISNA(VLOOKUP(A132&amp;D132,VCEPReports,4,FALSE)),"",VLOOKUP(A132&amp;D132,VCEPReports,4,FALSE))</f>
        <v/>
      </c>
      <c r="D132" s="5">
        <v>40585</v>
      </c>
      <c r="E132" s="5" t="s">
        <v>65</v>
      </c>
      <c r="F132" s="6">
        <v>42828</v>
      </c>
      <c r="G132" s="5" t="s">
        <v>283</v>
      </c>
      <c r="H132" s="5" t="s">
        <v>109</v>
      </c>
      <c r="I132" s="5" t="s">
        <v>110</v>
      </c>
      <c r="J132" s="5" t="s">
        <v>0</v>
      </c>
      <c r="K132" s="5" t="s">
        <v>1</v>
      </c>
      <c r="L132" s="5" t="s">
        <v>2</v>
      </c>
      <c r="M132" s="5" t="s">
        <v>915</v>
      </c>
      <c r="N132" s="5" t="s">
        <v>284</v>
      </c>
      <c r="O132" s="5" t="s">
        <v>158</v>
      </c>
      <c r="P132" s="5" t="s">
        <v>9</v>
      </c>
      <c r="XFD132"/>
    </row>
    <row r="133" spans="1:16 16384:16384" s="5" customFormat="1">
      <c r="A133" s="5" t="str">
        <f t="shared" si="4"/>
        <v>RAS</v>
      </c>
      <c r="B133" s="5" t="str">
        <f t="shared" si="5"/>
        <v>RAS40588</v>
      </c>
      <c r="C133" s="5" t="str">
        <f>IF(ISNA(VLOOKUP(A133&amp;D133,VCEPReports,4,FALSE)),"",VLOOKUP(A133&amp;D133,VCEPReports,4,FALSE))</f>
        <v/>
      </c>
      <c r="D133" s="5">
        <v>40588</v>
      </c>
      <c r="E133" s="5" t="s">
        <v>65</v>
      </c>
      <c r="F133" s="6">
        <v>42828</v>
      </c>
      <c r="G133" s="5" t="s">
        <v>285</v>
      </c>
      <c r="H133" s="5" t="s">
        <v>109</v>
      </c>
      <c r="I133" s="5" t="s">
        <v>110</v>
      </c>
      <c r="J133" s="5" t="s">
        <v>0</v>
      </c>
      <c r="K133" s="5" t="s">
        <v>1</v>
      </c>
      <c r="L133" s="5" t="s">
        <v>2</v>
      </c>
      <c r="M133" s="5" t="s">
        <v>915</v>
      </c>
      <c r="N133" s="5" t="s">
        <v>286</v>
      </c>
      <c r="O133" s="5" t="s">
        <v>158</v>
      </c>
      <c r="P133" s="5" t="s">
        <v>9</v>
      </c>
      <c r="XFD133"/>
    </row>
    <row r="134" spans="1:16 16384:16384" s="5" customFormat="1">
      <c r="A134" s="5" t="str">
        <f t="shared" si="4"/>
        <v>RAS</v>
      </c>
      <c r="B134" s="5" t="str">
        <f t="shared" si="5"/>
        <v>RAS40599</v>
      </c>
      <c r="C134" s="5" t="str">
        <f>IF(ISNA(VLOOKUP(A134&amp;D134,VCEPReports,4,FALSE)),"",VLOOKUP(A134&amp;D134,VCEPReports,4,FALSE))</f>
        <v/>
      </c>
      <c r="D134" s="5">
        <v>40599</v>
      </c>
      <c r="E134" s="5" t="s">
        <v>3</v>
      </c>
      <c r="F134" s="6">
        <v>42828</v>
      </c>
      <c r="G134" s="5" t="s">
        <v>210</v>
      </c>
      <c r="H134" s="5" t="s">
        <v>109</v>
      </c>
      <c r="I134" s="5" t="s">
        <v>110</v>
      </c>
      <c r="J134" s="5" t="s">
        <v>0</v>
      </c>
      <c r="K134" s="5" t="s">
        <v>1</v>
      </c>
      <c r="L134" s="5" t="s">
        <v>2</v>
      </c>
      <c r="M134" s="5" t="s">
        <v>915</v>
      </c>
      <c r="N134" s="5" t="s">
        <v>287</v>
      </c>
      <c r="O134" s="5" t="s">
        <v>158</v>
      </c>
      <c r="P134" s="5" t="s">
        <v>9</v>
      </c>
      <c r="XFD134"/>
    </row>
    <row r="135" spans="1:16 16384:16384" s="5" customFormat="1">
      <c r="A135" s="5" t="str">
        <f t="shared" si="4"/>
        <v>RAS</v>
      </c>
      <c r="B135" s="5" t="str">
        <f t="shared" si="5"/>
        <v>RAS40600</v>
      </c>
      <c r="C135" s="5" t="str">
        <f>IF(ISNA(VLOOKUP(A135&amp;D135,VCEPReports,4,FALSE)),"",VLOOKUP(A135&amp;D135,VCEPReports,4,FALSE))</f>
        <v/>
      </c>
      <c r="D135" s="5">
        <v>40600</v>
      </c>
      <c r="E135" s="5" t="s">
        <v>24</v>
      </c>
      <c r="F135" s="6">
        <v>42828</v>
      </c>
      <c r="G135" s="5" t="s">
        <v>288</v>
      </c>
      <c r="H135" s="5" t="s">
        <v>109</v>
      </c>
      <c r="I135" s="5" t="s">
        <v>110</v>
      </c>
      <c r="J135" s="5" t="s">
        <v>0</v>
      </c>
      <c r="K135" s="5" t="s">
        <v>1</v>
      </c>
      <c r="L135" s="5" t="s">
        <v>2</v>
      </c>
      <c r="M135" s="5" t="s">
        <v>915</v>
      </c>
      <c r="N135" s="5" t="s">
        <v>289</v>
      </c>
      <c r="O135" s="5" t="s">
        <v>158</v>
      </c>
      <c r="P135" s="5" t="s">
        <v>9</v>
      </c>
      <c r="XFD135"/>
    </row>
    <row r="136" spans="1:16 16384:16384" s="5" customFormat="1">
      <c r="A136" s="5" t="str">
        <f t="shared" si="4"/>
        <v>RAS</v>
      </c>
      <c r="B136" s="5" t="str">
        <f t="shared" si="5"/>
        <v>RAS40601</v>
      </c>
      <c r="C136" s="5" t="str">
        <f>IF(ISNA(VLOOKUP(A136&amp;D136,VCEPReports,4,FALSE)),"",VLOOKUP(A136&amp;D136,VCEPReports,4,FALSE))</f>
        <v/>
      </c>
      <c r="D136" s="5">
        <v>40601</v>
      </c>
      <c r="E136" s="5" t="s">
        <v>3</v>
      </c>
      <c r="F136" s="6">
        <v>42828</v>
      </c>
      <c r="G136" s="5" t="s">
        <v>290</v>
      </c>
      <c r="H136" s="5" t="s">
        <v>109</v>
      </c>
      <c r="I136" s="5" t="s">
        <v>110</v>
      </c>
      <c r="J136" s="5" t="s">
        <v>0</v>
      </c>
      <c r="K136" s="5" t="s">
        <v>1</v>
      </c>
      <c r="L136" s="5" t="s">
        <v>2</v>
      </c>
      <c r="M136" s="5" t="s">
        <v>915</v>
      </c>
      <c r="N136" s="5" t="s">
        <v>291</v>
      </c>
      <c r="O136" s="5" t="s">
        <v>158</v>
      </c>
      <c r="P136" s="5" t="s">
        <v>9</v>
      </c>
      <c r="XFD136"/>
    </row>
    <row r="137" spans="1:16 16384:16384" s="5" customFormat="1">
      <c r="A137" s="5" t="str">
        <f t="shared" si="4"/>
        <v>RAS</v>
      </c>
      <c r="B137" s="5" t="str">
        <f t="shared" si="5"/>
        <v>RAS40607</v>
      </c>
      <c r="C137" s="5" t="str">
        <f>IF(ISNA(VLOOKUP(A137&amp;D137,VCEPReports,4,FALSE)),"",VLOOKUP(A137&amp;D137,VCEPReports,4,FALSE))</f>
        <v/>
      </c>
      <c r="D137" s="5">
        <v>40607</v>
      </c>
      <c r="E137" s="5" t="s">
        <v>24</v>
      </c>
      <c r="F137" s="6">
        <v>42828</v>
      </c>
      <c r="G137" s="5" t="s">
        <v>292</v>
      </c>
      <c r="H137" s="5" t="s">
        <v>109</v>
      </c>
      <c r="I137" s="5" t="s">
        <v>110</v>
      </c>
      <c r="J137" s="5" t="s">
        <v>0</v>
      </c>
      <c r="K137" s="5" t="s">
        <v>1</v>
      </c>
      <c r="L137" s="5" t="s">
        <v>2</v>
      </c>
      <c r="M137" s="5" t="s">
        <v>915</v>
      </c>
      <c r="N137" s="5" t="s">
        <v>293</v>
      </c>
      <c r="O137" s="5" t="s">
        <v>158</v>
      </c>
      <c r="P137" s="5" t="s">
        <v>9</v>
      </c>
      <c r="XFD137"/>
    </row>
    <row r="138" spans="1:16 16384:16384" s="5" customFormat="1">
      <c r="A138" s="5" t="str">
        <f t="shared" si="4"/>
        <v>RAS</v>
      </c>
      <c r="B138" s="5" t="str">
        <f t="shared" si="5"/>
        <v>RAS40609</v>
      </c>
      <c r="C138" s="5" t="str">
        <f>IF(ISNA(VLOOKUP(A138&amp;D138,VCEPReports,4,FALSE)),"",VLOOKUP(A138&amp;D138,VCEPReports,4,FALSE))</f>
        <v/>
      </c>
      <c r="D138" s="5">
        <v>40609</v>
      </c>
      <c r="E138" s="5" t="s">
        <v>212</v>
      </c>
      <c r="F138" s="6">
        <v>42843</v>
      </c>
      <c r="G138" s="5" t="s">
        <v>260</v>
      </c>
      <c r="H138" s="5" t="s">
        <v>109</v>
      </c>
      <c r="I138" s="5" t="s">
        <v>110</v>
      </c>
      <c r="J138" s="5" t="s">
        <v>0</v>
      </c>
      <c r="K138" s="5" t="s">
        <v>1</v>
      </c>
      <c r="L138" s="5" t="s">
        <v>2</v>
      </c>
      <c r="M138" s="5" t="s">
        <v>915</v>
      </c>
      <c r="N138" s="5" t="s">
        <v>294</v>
      </c>
      <c r="O138" s="5" t="s">
        <v>158</v>
      </c>
      <c r="P138" s="5" t="s">
        <v>9</v>
      </c>
      <c r="XFD138"/>
    </row>
    <row r="139" spans="1:16 16384:16384" s="5" customFormat="1">
      <c r="A139" s="5" t="str">
        <f t="shared" si="4"/>
        <v>RAS</v>
      </c>
      <c r="B139" s="5" t="str">
        <f t="shared" si="5"/>
        <v>RAS40611</v>
      </c>
      <c r="C139" s="5" t="str">
        <f>IF(ISNA(VLOOKUP(A139&amp;D139,VCEPReports,4,FALSE)),"",VLOOKUP(A139&amp;D139,VCEPReports,4,FALSE))</f>
        <v/>
      </c>
      <c r="D139" s="5">
        <v>40611</v>
      </c>
      <c r="E139" s="5" t="s">
        <v>65</v>
      </c>
      <c r="F139" s="6">
        <v>42843</v>
      </c>
      <c r="G139" s="5" t="s">
        <v>219</v>
      </c>
      <c r="H139" s="5" t="s">
        <v>109</v>
      </c>
      <c r="I139" s="5" t="s">
        <v>110</v>
      </c>
      <c r="J139" s="5" t="s">
        <v>0</v>
      </c>
      <c r="K139" s="5" t="s">
        <v>1</v>
      </c>
      <c r="L139" s="5" t="s">
        <v>2</v>
      </c>
      <c r="M139" s="5" t="s">
        <v>915</v>
      </c>
      <c r="N139" s="5" t="s">
        <v>295</v>
      </c>
      <c r="O139" s="5" t="s">
        <v>158</v>
      </c>
      <c r="P139" s="5" t="s">
        <v>9</v>
      </c>
      <c r="XFD139"/>
    </row>
    <row r="140" spans="1:16 16384:16384" s="5" customFormat="1">
      <c r="A140" s="5" t="str">
        <f t="shared" si="4"/>
        <v>RAS</v>
      </c>
      <c r="B140" s="5" t="str">
        <f t="shared" si="5"/>
        <v>RAS40612</v>
      </c>
      <c r="C140" s="5" t="str">
        <f>IF(ISNA(VLOOKUP(A140&amp;D140,VCEPReports,4,FALSE)),"",VLOOKUP(A140&amp;D140,VCEPReports,4,FALSE))</f>
        <v/>
      </c>
      <c r="D140" s="5">
        <v>40612</v>
      </c>
      <c r="E140" s="5" t="s">
        <v>86</v>
      </c>
      <c r="F140" s="6">
        <v>42828</v>
      </c>
      <c r="G140" s="5" t="s">
        <v>296</v>
      </c>
      <c r="H140" s="5" t="s">
        <v>109</v>
      </c>
      <c r="I140" s="5" t="s">
        <v>110</v>
      </c>
      <c r="J140" s="5" t="s">
        <v>0</v>
      </c>
      <c r="K140" s="5" t="s">
        <v>1</v>
      </c>
      <c r="L140" s="5" t="s">
        <v>2</v>
      </c>
      <c r="M140" s="5" t="s">
        <v>915</v>
      </c>
      <c r="N140" s="5" t="s">
        <v>297</v>
      </c>
      <c r="O140" s="5" t="s">
        <v>158</v>
      </c>
      <c r="P140" s="5" t="s">
        <v>9</v>
      </c>
      <c r="XFD140"/>
    </row>
    <row r="141" spans="1:16 16384:16384" s="5" customFormat="1">
      <c r="A141" s="5" t="str">
        <f t="shared" si="4"/>
        <v>RAS</v>
      </c>
      <c r="B141" s="5" t="str">
        <f t="shared" si="5"/>
        <v>RAS40613</v>
      </c>
      <c r="C141" s="5" t="str">
        <f>IF(ISNA(VLOOKUP(A141&amp;D141,VCEPReports,4,FALSE)),"",VLOOKUP(A141&amp;D141,VCEPReports,4,FALSE))</f>
        <v/>
      </c>
      <c r="D141" s="5">
        <v>40613</v>
      </c>
      <c r="E141" s="5" t="s">
        <v>24</v>
      </c>
      <c r="F141" s="6">
        <v>42828</v>
      </c>
      <c r="G141" s="5" t="s">
        <v>298</v>
      </c>
      <c r="H141" s="5" t="s">
        <v>109</v>
      </c>
      <c r="I141" s="5" t="s">
        <v>110</v>
      </c>
      <c r="J141" s="5" t="s">
        <v>0</v>
      </c>
      <c r="K141" s="5" t="s">
        <v>1</v>
      </c>
      <c r="L141" s="5" t="s">
        <v>2</v>
      </c>
      <c r="M141" s="5" t="s">
        <v>915</v>
      </c>
      <c r="N141" s="5" t="s">
        <v>299</v>
      </c>
      <c r="O141" s="5" t="s">
        <v>158</v>
      </c>
      <c r="P141" s="5" t="s">
        <v>9</v>
      </c>
      <c r="XFD141"/>
    </row>
    <row r="142" spans="1:16 16384:16384" s="5" customFormat="1">
      <c r="A142" s="5" t="str">
        <f t="shared" si="4"/>
        <v>RAS</v>
      </c>
      <c r="B142" s="5" t="str">
        <f t="shared" si="5"/>
        <v>RAS40614</v>
      </c>
      <c r="C142" s="5" t="str">
        <f>IF(ISNA(VLOOKUP(A142&amp;D142,VCEPReports,4,FALSE)),"",VLOOKUP(A142&amp;D142,VCEPReports,4,FALSE))</f>
        <v/>
      </c>
      <c r="D142" s="5">
        <v>40614</v>
      </c>
      <c r="E142" s="5" t="s">
        <v>86</v>
      </c>
      <c r="F142" s="6">
        <v>42828</v>
      </c>
      <c r="G142" s="5" t="s">
        <v>300</v>
      </c>
      <c r="H142" s="5" t="s">
        <v>109</v>
      </c>
      <c r="I142" s="5" t="s">
        <v>110</v>
      </c>
      <c r="J142" s="5" t="s">
        <v>0</v>
      </c>
      <c r="K142" s="5" t="s">
        <v>1</v>
      </c>
      <c r="L142" s="5" t="s">
        <v>2</v>
      </c>
      <c r="M142" s="5" t="s">
        <v>915</v>
      </c>
      <c r="N142" s="5" t="s">
        <v>301</v>
      </c>
      <c r="O142" s="5" t="s">
        <v>158</v>
      </c>
      <c r="P142" s="5" t="s">
        <v>9</v>
      </c>
      <c r="XFD142"/>
    </row>
    <row r="143" spans="1:16 16384:16384" s="5" customFormat="1">
      <c r="A143" s="5" t="str">
        <f t="shared" si="4"/>
        <v>RAS</v>
      </c>
      <c r="B143" s="5" t="str">
        <f t="shared" si="5"/>
        <v>RAS40620</v>
      </c>
      <c r="C143" s="5" t="str">
        <f>IF(ISNA(VLOOKUP(A143&amp;D143,VCEPReports,4,FALSE)),"",VLOOKUP(A143&amp;D143,VCEPReports,4,FALSE))</f>
        <v/>
      </c>
      <c r="D143" s="5">
        <v>40620</v>
      </c>
      <c r="E143" s="5" t="s">
        <v>65</v>
      </c>
      <c r="F143" s="6">
        <v>42843</v>
      </c>
      <c r="G143" s="5" t="s">
        <v>219</v>
      </c>
      <c r="H143" s="5" t="s">
        <v>109</v>
      </c>
      <c r="I143" s="5" t="s">
        <v>110</v>
      </c>
      <c r="J143" s="5" t="s">
        <v>0</v>
      </c>
      <c r="K143" s="5" t="s">
        <v>1</v>
      </c>
      <c r="L143" s="5" t="s">
        <v>2</v>
      </c>
      <c r="M143" s="5" t="s">
        <v>915</v>
      </c>
      <c r="N143" s="5" t="s">
        <v>302</v>
      </c>
      <c r="O143" s="5" t="s">
        <v>158</v>
      </c>
      <c r="P143" s="5" t="s">
        <v>9</v>
      </c>
      <c r="XFD143"/>
    </row>
    <row r="144" spans="1:16 16384:16384" s="5" customFormat="1">
      <c r="A144" s="5" t="str">
        <f t="shared" si="4"/>
        <v>RAS</v>
      </c>
      <c r="B144" s="5" t="str">
        <f t="shared" si="5"/>
        <v>RAS40621</v>
      </c>
      <c r="C144" s="5" t="str">
        <f>IF(ISNA(VLOOKUP(A144&amp;D144,VCEPReports,4,FALSE)),"",VLOOKUP(A144&amp;D144,VCEPReports,4,FALSE))</f>
        <v/>
      </c>
      <c r="D144" s="5">
        <v>40621</v>
      </c>
      <c r="E144" s="5" t="s">
        <v>65</v>
      </c>
      <c r="F144" s="6">
        <v>42843</v>
      </c>
      <c r="G144" s="5" t="s">
        <v>219</v>
      </c>
      <c r="H144" s="5" t="s">
        <v>109</v>
      </c>
      <c r="I144" s="5" t="s">
        <v>110</v>
      </c>
      <c r="J144" s="5" t="s">
        <v>0</v>
      </c>
      <c r="K144" s="5" t="s">
        <v>1</v>
      </c>
      <c r="L144" s="5" t="s">
        <v>2</v>
      </c>
      <c r="M144" s="5" t="s">
        <v>915</v>
      </c>
      <c r="N144" s="5" t="s">
        <v>303</v>
      </c>
      <c r="O144" s="5" t="s">
        <v>158</v>
      </c>
      <c r="P144" s="5" t="s">
        <v>9</v>
      </c>
      <c r="XFD144"/>
    </row>
    <row r="145" spans="1:16 16384:16384" s="5" customFormat="1">
      <c r="A145" s="5" t="str">
        <f t="shared" si="4"/>
        <v>RAS</v>
      </c>
      <c r="B145" s="5" t="str">
        <f t="shared" si="5"/>
        <v>RAS40626</v>
      </c>
      <c r="C145" s="5" t="str">
        <f>IF(ISNA(VLOOKUP(A145&amp;D145,VCEPReports,4,FALSE)),"",VLOOKUP(A145&amp;D145,VCEPReports,4,FALSE))</f>
        <v/>
      </c>
      <c r="D145" s="5">
        <v>40626</v>
      </c>
      <c r="E145" s="5" t="s">
        <v>65</v>
      </c>
      <c r="F145" s="6">
        <v>42843</v>
      </c>
      <c r="G145" s="5" t="s">
        <v>219</v>
      </c>
      <c r="H145" s="5" t="s">
        <v>109</v>
      </c>
      <c r="I145" s="5" t="s">
        <v>110</v>
      </c>
      <c r="J145" s="5" t="s">
        <v>0</v>
      </c>
      <c r="K145" s="5" t="s">
        <v>1</v>
      </c>
      <c r="L145" s="5" t="s">
        <v>2</v>
      </c>
      <c r="M145" s="5" t="s">
        <v>915</v>
      </c>
      <c r="N145" s="5" t="s">
        <v>304</v>
      </c>
      <c r="O145" s="5" t="s">
        <v>158</v>
      </c>
      <c r="P145" s="5" t="s">
        <v>9</v>
      </c>
      <c r="XFD145"/>
    </row>
    <row r="146" spans="1:16 16384:16384" s="5" customFormat="1">
      <c r="A146" s="5" t="str">
        <f t="shared" si="4"/>
        <v>RAS</v>
      </c>
      <c r="B146" s="5" t="str">
        <f t="shared" si="5"/>
        <v>RAS40627</v>
      </c>
      <c r="C146" s="5" t="str">
        <f>IF(ISNA(VLOOKUP(A146&amp;D146,VCEPReports,4,FALSE)),"",VLOOKUP(A146&amp;D146,VCEPReports,4,FALSE))</f>
        <v/>
      </c>
      <c r="D146" s="5">
        <v>40627</v>
      </c>
      <c r="E146" s="5" t="s">
        <v>65</v>
      </c>
      <c r="F146" s="6">
        <v>42843</v>
      </c>
      <c r="G146" s="5" t="s">
        <v>219</v>
      </c>
      <c r="H146" s="5" t="s">
        <v>109</v>
      </c>
      <c r="I146" s="5" t="s">
        <v>110</v>
      </c>
      <c r="J146" s="5" t="s">
        <v>0</v>
      </c>
      <c r="K146" s="5" t="s">
        <v>1</v>
      </c>
      <c r="L146" s="5" t="s">
        <v>2</v>
      </c>
      <c r="M146" s="5" t="s">
        <v>915</v>
      </c>
      <c r="N146" s="5" t="s">
        <v>305</v>
      </c>
      <c r="O146" s="5" t="s">
        <v>158</v>
      </c>
      <c r="P146" s="5" t="s">
        <v>9</v>
      </c>
      <c r="XFD146"/>
    </row>
    <row r="147" spans="1:16 16384:16384" s="5" customFormat="1">
      <c r="A147" s="5" t="str">
        <f t="shared" si="4"/>
        <v>RAS</v>
      </c>
      <c r="B147" s="5" t="str">
        <f t="shared" si="5"/>
        <v>RAS40628</v>
      </c>
      <c r="C147" s="5" t="str">
        <f>IF(ISNA(VLOOKUP(A147&amp;D147,VCEPReports,4,FALSE)),"",VLOOKUP(A147&amp;D147,VCEPReports,4,FALSE))</f>
        <v/>
      </c>
      <c r="D147" s="5">
        <v>40628</v>
      </c>
      <c r="E147" s="5" t="s">
        <v>65</v>
      </c>
      <c r="F147" s="6">
        <v>42843</v>
      </c>
      <c r="G147" s="5" t="s">
        <v>219</v>
      </c>
      <c r="H147" s="5" t="s">
        <v>109</v>
      </c>
      <c r="I147" s="5" t="s">
        <v>110</v>
      </c>
      <c r="J147" s="5" t="s">
        <v>0</v>
      </c>
      <c r="K147" s="5" t="s">
        <v>1</v>
      </c>
      <c r="L147" s="5" t="s">
        <v>2</v>
      </c>
      <c r="M147" s="5" t="s">
        <v>915</v>
      </c>
      <c r="N147" s="5" t="s">
        <v>306</v>
      </c>
      <c r="O147" s="5" t="s">
        <v>158</v>
      </c>
      <c r="P147" s="5" t="s">
        <v>9</v>
      </c>
      <c r="XFD147"/>
    </row>
    <row r="148" spans="1:16 16384:16384" s="5" customFormat="1">
      <c r="A148" s="5" t="str">
        <f t="shared" si="4"/>
        <v>RAS</v>
      </c>
      <c r="B148" s="5" t="str">
        <f t="shared" si="5"/>
        <v>RAS40634</v>
      </c>
      <c r="C148" s="5" t="str">
        <f>IF(ISNA(VLOOKUP(A148&amp;D148,VCEPReports,4,FALSE)),"",VLOOKUP(A148&amp;D148,VCEPReports,4,FALSE))</f>
        <v/>
      </c>
      <c r="D148" s="5">
        <v>40634</v>
      </c>
      <c r="E148" s="5" t="s">
        <v>86</v>
      </c>
      <c r="F148" s="6">
        <v>42828</v>
      </c>
      <c r="G148" s="5" t="s">
        <v>307</v>
      </c>
      <c r="H148" s="5" t="s">
        <v>109</v>
      </c>
      <c r="I148" s="5" t="s">
        <v>110</v>
      </c>
      <c r="J148" s="5" t="s">
        <v>0</v>
      </c>
      <c r="K148" s="5" t="s">
        <v>1</v>
      </c>
      <c r="L148" s="5" t="s">
        <v>2</v>
      </c>
      <c r="M148" s="5" t="s">
        <v>915</v>
      </c>
      <c r="N148" s="5" t="s">
        <v>308</v>
      </c>
      <c r="O148" s="5" t="s">
        <v>93</v>
      </c>
      <c r="P148" s="5" t="s">
        <v>9</v>
      </c>
      <c r="XFD148"/>
    </row>
    <row r="149" spans="1:16 16384:16384" s="5" customFormat="1">
      <c r="A149" s="5" t="str">
        <f t="shared" si="4"/>
        <v>RAS</v>
      </c>
      <c r="B149" s="5" t="str">
        <f t="shared" si="5"/>
        <v>RAS40635</v>
      </c>
      <c r="C149" s="5" t="str">
        <f>IF(ISNA(VLOOKUP(A149&amp;D149,VCEPReports,4,FALSE)),"",VLOOKUP(A149&amp;D149,VCEPReports,4,FALSE))</f>
        <v/>
      </c>
      <c r="D149" s="5">
        <v>40635</v>
      </c>
      <c r="E149" s="5" t="s">
        <v>65</v>
      </c>
      <c r="F149" s="6">
        <v>42828</v>
      </c>
      <c r="G149" s="5" t="s">
        <v>309</v>
      </c>
      <c r="H149" s="5" t="s">
        <v>109</v>
      </c>
      <c r="I149" s="5" t="s">
        <v>110</v>
      </c>
      <c r="J149" s="5" t="s">
        <v>0</v>
      </c>
      <c r="K149" s="5" t="s">
        <v>1</v>
      </c>
      <c r="L149" s="5" t="s">
        <v>2</v>
      </c>
      <c r="M149" s="5" t="s">
        <v>915</v>
      </c>
      <c r="N149" s="5" t="s">
        <v>310</v>
      </c>
      <c r="O149" s="5" t="s">
        <v>93</v>
      </c>
      <c r="P149" s="5" t="s">
        <v>9</v>
      </c>
      <c r="XFD149"/>
    </row>
    <row r="150" spans="1:16 16384:16384" s="5" customFormat="1">
      <c r="A150" s="5" t="str">
        <f t="shared" si="4"/>
        <v>RAS</v>
      </c>
      <c r="B150" s="5" t="str">
        <f t="shared" si="5"/>
        <v>RAS40640</v>
      </c>
      <c r="C150" s="5" t="str">
        <f>IF(ISNA(VLOOKUP(A150&amp;D150,VCEPReports,4,FALSE)),"",VLOOKUP(A150&amp;D150,VCEPReports,4,FALSE))</f>
        <v/>
      </c>
      <c r="D150" s="5">
        <v>40640</v>
      </c>
      <c r="E150" s="5" t="s">
        <v>65</v>
      </c>
      <c r="F150" s="6">
        <v>42828</v>
      </c>
      <c r="G150" s="5" t="s">
        <v>311</v>
      </c>
      <c r="H150" s="5" t="s">
        <v>109</v>
      </c>
      <c r="I150" s="5" t="s">
        <v>110</v>
      </c>
      <c r="J150" s="5" t="s">
        <v>0</v>
      </c>
      <c r="K150" s="5" t="s">
        <v>1</v>
      </c>
      <c r="L150" s="5" t="s">
        <v>2</v>
      </c>
      <c r="M150" s="5" t="s">
        <v>915</v>
      </c>
      <c r="N150" s="5" t="s">
        <v>312</v>
      </c>
      <c r="O150" s="5" t="s">
        <v>140</v>
      </c>
      <c r="P150" s="5" t="s">
        <v>9</v>
      </c>
      <c r="XFD150"/>
    </row>
    <row r="151" spans="1:16 16384:16384" s="5" customFormat="1">
      <c r="A151" s="5" t="str">
        <f t="shared" si="4"/>
        <v>RAS</v>
      </c>
      <c r="B151" s="5" t="str">
        <f t="shared" si="5"/>
        <v>RAS40641</v>
      </c>
      <c r="C151" s="5" t="str">
        <f>IF(ISNA(VLOOKUP(A151&amp;D151,VCEPReports,4,FALSE)),"",VLOOKUP(A151&amp;D151,VCEPReports,4,FALSE))</f>
        <v/>
      </c>
      <c r="D151" s="5">
        <v>40641</v>
      </c>
      <c r="E151" s="5" t="s">
        <v>65</v>
      </c>
      <c r="F151" s="6">
        <v>42828</v>
      </c>
      <c r="G151" s="5" t="s">
        <v>313</v>
      </c>
      <c r="H151" s="5" t="s">
        <v>109</v>
      </c>
      <c r="I151" s="5" t="s">
        <v>110</v>
      </c>
      <c r="J151" s="5" t="s">
        <v>0</v>
      </c>
      <c r="K151" s="5" t="s">
        <v>1</v>
      </c>
      <c r="L151" s="5" t="s">
        <v>2</v>
      </c>
      <c r="M151" s="5" t="s">
        <v>915</v>
      </c>
      <c r="N151" s="5" t="s">
        <v>314</v>
      </c>
      <c r="O151" s="5" t="s">
        <v>140</v>
      </c>
      <c r="P151" s="5" t="s">
        <v>9</v>
      </c>
      <c r="XFD151"/>
    </row>
    <row r="152" spans="1:16 16384:16384" s="5" customFormat="1">
      <c r="A152" s="5" t="str">
        <f t="shared" si="4"/>
        <v>RAS</v>
      </c>
      <c r="B152" s="5" t="str">
        <f t="shared" si="5"/>
        <v>RAS40643</v>
      </c>
      <c r="C152" s="5" t="str">
        <f>IF(ISNA(VLOOKUP(A152&amp;D152,VCEPReports,4,FALSE)),"",VLOOKUP(A152&amp;D152,VCEPReports,4,FALSE))</f>
        <v/>
      </c>
      <c r="D152" s="5">
        <v>40643</v>
      </c>
      <c r="E152" s="5" t="s">
        <v>65</v>
      </c>
      <c r="F152" s="6">
        <v>42843</v>
      </c>
      <c r="G152" s="5" t="s">
        <v>219</v>
      </c>
      <c r="H152" s="5" t="s">
        <v>109</v>
      </c>
      <c r="I152" s="5" t="s">
        <v>110</v>
      </c>
      <c r="J152" s="5" t="s">
        <v>0</v>
      </c>
      <c r="K152" s="5" t="s">
        <v>1</v>
      </c>
      <c r="L152" s="5" t="s">
        <v>2</v>
      </c>
      <c r="M152" s="5" t="s">
        <v>915</v>
      </c>
      <c r="N152" s="5" t="s">
        <v>315</v>
      </c>
      <c r="O152" s="5" t="s">
        <v>140</v>
      </c>
      <c r="P152" s="5" t="s">
        <v>9</v>
      </c>
      <c r="XFD152"/>
    </row>
    <row r="153" spans="1:16 16384:16384" s="5" customFormat="1">
      <c r="A153" s="5" t="str">
        <f t="shared" si="4"/>
        <v>RAS</v>
      </c>
      <c r="B153" s="5" t="str">
        <f t="shared" si="5"/>
        <v>RAS40649</v>
      </c>
      <c r="C153" s="5" t="str">
        <f>IF(ISNA(VLOOKUP(A153&amp;D153,VCEPReports,4,FALSE)),"",VLOOKUP(A153&amp;D153,VCEPReports,4,FALSE))</f>
        <v/>
      </c>
      <c r="D153" s="5">
        <v>40649</v>
      </c>
      <c r="E153" s="5" t="s">
        <v>3</v>
      </c>
      <c r="F153" s="6">
        <v>42828</v>
      </c>
      <c r="G153" s="5" t="s">
        <v>316</v>
      </c>
      <c r="H153" s="5" t="s">
        <v>118</v>
      </c>
      <c r="I153" s="5" t="s">
        <v>119</v>
      </c>
      <c r="J153" s="5" t="s">
        <v>0</v>
      </c>
      <c r="K153" s="5" t="s">
        <v>1</v>
      </c>
      <c r="L153" s="5" t="s">
        <v>2</v>
      </c>
      <c r="M153" s="5" t="s">
        <v>915</v>
      </c>
      <c r="N153" s="5" t="s">
        <v>317</v>
      </c>
      <c r="O153" s="5" t="s">
        <v>140</v>
      </c>
      <c r="P153" s="5" t="s">
        <v>9</v>
      </c>
      <c r="XFD153"/>
    </row>
    <row r="154" spans="1:16 16384:16384" s="5" customFormat="1">
      <c r="A154" s="5" t="str">
        <f t="shared" si="4"/>
        <v>RAS</v>
      </c>
      <c r="B154" s="5" t="str">
        <f t="shared" si="5"/>
        <v>RAS40651</v>
      </c>
      <c r="C154" s="5" t="str">
        <f>IF(ISNA(VLOOKUP(A154&amp;D154,VCEPReports,4,FALSE)),"",VLOOKUP(A154&amp;D154,VCEPReports,4,FALSE))</f>
        <v/>
      </c>
      <c r="D154" s="5">
        <v>40651</v>
      </c>
      <c r="E154" s="5" t="s">
        <v>3</v>
      </c>
      <c r="F154" s="6">
        <v>42828</v>
      </c>
      <c r="G154" s="5" t="s">
        <v>101</v>
      </c>
      <c r="H154" s="5" t="s">
        <v>118</v>
      </c>
      <c r="I154" s="5" t="s">
        <v>119</v>
      </c>
      <c r="J154" s="5" t="s">
        <v>0</v>
      </c>
      <c r="K154" s="5" t="s">
        <v>1</v>
      </c>
      <c r="L154" s="5" t="s">
        <v>2</v>
      </c>
      <c r="M154" s="5" t="s">
        <v>915</v>
      </c>
      <c r="N154" s="5" t="s">
        <v>318</v>
      </c>
      <c r="O154" s="5" t="s">
        <v>140</v>
      </c>
      <c r="P154" s="5" t="s">
        <v>9</v>
      </c>
      <c r="XFD154"/>
    </row>
    <row r="155" spans="1:16 16384:16384" s="5" customFormat="1">
      <c r="A155" s="5" t="str">
        <f t="shared" si="4"/>
        <v>RAS</v>
      </c>
      <c r="B155" s="5" t="str">
        <f t="shared" si="5"/>
        <v>RAS40655</v>
      </c>
      <c r="C155" s="5" t="str">
        <f>IF(ISNA(VLOOKUP(A155&amp;D155,VCEPReports,4,FALSE)),"",VLOOKUP(A155&amp;D155,VCEPReports,4,FALSE))</f>
        <v/>
      </c>
      <c r="D155" s="5">
        <v>40655</v>
      </c>
      <c r="E155" s="5" t="s">
        <v>65</v>
      </c>
      <c r="F155" s="6">
        <v>42843</v>
      </c>
      <c r="G155" s="5" t="s">
        <v>219</v>
      </c>
      <c r="H155" s="5" t="s">
        <v>109</v>
      </c>
      <c r="I155" s="5" t="s">
        <v>110</v>
      </c>
      <c r="J155" s="5" t="s">
        <v>0</v>
      </c>
      <c r="K155" s="5" t="s">
        <v>1</v>
      </c>
      <c r="L155" s="5" t="s">
        <v>2</v>
      </c>
      <c r="M155" s="5" t="s">
        <v>915</v>
      </c>
      <c r="N155" s="5" t="s">
        <v>319</v>
      </c>
      <c r="O155" s="5" t="s">
        <v>140</v>
      </c>
      <c r="P155" s="5" t="s">
        <v>9</v>
      </c>
      <c r="XFD155"/>
    </row>
    <row r="156" spans="1:16 16384:16384" s="5" customFormat="1">
      <c r="A156" s="5" t="str">
        <f t="shared" si="4"/>
        <v>RAS</v>
      </c>
      <c r="B156" s="5" t="str">
        <f t="shared" si="5"/>
        <v>RAS40660</v>
      </c>
      <c r="C156" s="5" t="str">
        <f>IF(ISNA(VLOOKUP(A156&amp;D156,VCEPReports,4,FALSE)),"",VLOOKUP(A156&amp;D156,VCEPReports,4,FALSE))</f>
        <v/>
      </c>
      <c r="D156" s="5">
        <v>40660</v>
      </c>
      <c r="E156" s="5" t="s">
        <v>65</v>
      </c>
      <c r="F156" s="6">
        <v>42828</v>
      </c>
      <c r="G156" s="5" t="s">
        <v>320</v>
      </c>
      <c r="H156" s="5" t="s">
        <v>109</v>
      </c>
      <c r="I156" s="5" t="s">
        <v>110</v>
      </c>
      <c r="J156" s="5" t="s">
        <v>0</v>
      </c>
      <c r="K156" s="5" t="s">
        <v>1</v>
      </c>
      <c r="L156" s="5" t="s">
        <v>2</v>
      </c>
      <c r="M156" s="5" t="s">
        <v>915</v>
      </c>
      <c r="N156" s="5" t="s">
        <v>321</v>
      </c>
      <c r="O156" s="5" t="s">
        <v>140</v>
      </c>
      <c r="P156" s="5" t="s">
        <v>9</v>
      </c>
      <c r="XFD156"/>
    </row>
    <row r="157" spans="1:16 16384:16384" s="5" customFormat="1">
      <c r="A157" s="5" t="str">
        <f t="shared" si="4"/>
        <v>RAS</v>
      </c>
      <c r="B157" s="5" t="str">
        <f t="shared" si="5"/>
        <v>RAS40662</v>
      </c>
      <c r="C157" s="5" t="str">
        <f>IF(ISNA(VLOOKUP(A157&amp;D157,VCEPReports,4,FALSE)),"",VLOOKUP(A157&amp;D157,VCEPReports,4,FALSE))</f>
        <v/>
      </c>
      <c r="D157" s="5">
        <v>40662</v>
      </c>
      <c r="E157" s="5" t="s">
        <v>3</v>
      </c>
      <c r="F157" s="6">
        <v>42828</v>
      </c>
      <c r="G157" s="5" t="s">
        <v>138</v>
      </c>
      <c r="H157" s="5" t="s">
        <v>118</v>
      </c>
      <c r="I157" s="5" t="s">
        <v>119</v>
      </c>
      <c r="J157" s="5" t="s">
        <v>0</v>
      </c>
      <c r="K157" s="5" t="s">
        <v>1</v>
      </c>
      <c r="L157" s="5" t="s">
        <v>2</v>
      </c>
      <c r="M157" s="5" t="s">
        <v>915</v>
      </c>
      <c r="N157" s="5" t="s">
        <v>322</v>
      </c>
      <c r="O157" s="5" t="s">
        <v>140</v>
      </c>
      <c r="P157" s="5" t="s">
        <v>9</v>
      </c>
      <c r="XFD157"/>
    </row>
    <row r="158" spans="1:16 16384:16384" s="5" customFormat="1">
      <c r="A158" s="5" t="str">
        <f t="shared" si="4"/>
        <v>RAS</v>
      </c>
      <c r="B158" s="5" t="str">
        <f t="shared" si="5"/>
        <v>RAS40665</v>
      </c>
      <c r="C158" s="5" t="str">
        <f>IF(ISNA(VLOOKUP(A158&amp;D158,VCEPReports,4,FALSE)),"",VLOOKUP(A158&amp;D158,VCEPReports,4,FALSE))</f>
        <v/>
      </c>
      <c r="D158" s="5">
        <v>40665</v>
      </c>
      <c r="E158" s="5" t="s">
        <v>65</v>
      </c>
      <c r="F158" s="6">
        <v>42828</v>
      </c>
      <c r="G158" s="5" t="s">
        <v>323</v>
      </c>
      <c r="H158" s="5" t="s">
        <v>109</v>
      </c>
      <c r="I158" s="5" t="s">
        <v>110</v>
      </c>
      <c r="J158" s="5" t="s">
        <v>0</v>
      </c>
      <c r="K158" s="5" t="s">
        <v>1</v>
      </c>
      <c r="L158" s="5" t="s">
        <v>2</v>
      </c>
      <c r="M158" s="5" t="s">
        <v>915</v>
      </c>
      <c r="N158" s="5" t="s">
        <v>324</v>
      </c>
      <c r="O158" s="5" t="s">
        <v>140</v>
      </c>
      <c r="P158" s="5" t="s">
        <v>9</v>
      </c>
      <c r="XFD158"/>
    </row>
    <row r="159" spans="1:16 16384:16384" s="5" customFormat="1">
      <c r="A159" s="5" t="str">
        <f t="shared" si="4"/>
        <v>RAS</v>
      </c>
      <c r="B159" s="5" t="str">
        <f t="shared" si="5"/>
        <v>RAS40678</v>
      </c>
      <c r="C159" s="5" t="str">
        <f>IF(ISNA(VLOOKUP(A159&amp;D159,VCEPReports,4,FALSE)),"",VLOOKUP(A159&amp;D159,VCEPReports,4,FALSE))</f>
        <v/>
      </c>
      <c r="D159" s="5">
        <v>40678</v>
      </c>
      <c r="E159" s="5" t="s">
        <v>3</v>
      </c>
      <c r="F159" s="6">
        <v>42828</v>
      </c>
      <c r="G159" s="5" t="s">
        <v>325</v>
      </c>
      <c r="H159" s="5" t="s">
        <v>118</v>
      </c>
      <c r="I159" s="5" t="s">
        <v>119</v>
      </c>
      <c r="J159" s="5" t="s">
        <v>0</v>
      </c>
      <c r="K159" s="5" t="s">
        <v>1</v>
      </c>
      <c r="L159" s="5" t="s">
        <v>2</v>
      </c>
      <c r="M159" s="5" t="s">
        <v>915</v>
      </c>
      <c r="N159" s="5" t="s">
        <v>326</v>
      </c>
      <c r="O159" s="5" t="s">
        <v>140</v>
      </c>
      <c r="P159" s="5" t="s">
        <v>9</v>
      </c>
      <c r="XFD159"/>
    </row>
    <row r="160" spans="1:16 16384:16384" s="5" customFormat="1">
      <c r="A160" s="5" t="str">
        <f t="shared" si="4"/>
        <v>RAS</v>
      </c>
      <c r="B160" s="5" t="str">
        <f t="shared" si="5"/>
        <v>RAS40686</v>
      </c>
      <c r="C160" s="5" t="str">
        <f>IF(ISNA(VLOOKUP(A160&amp;D160,VCEPReports,4,FALSE)),"",VLOOKUP(A160&amp;D160,VCEPReports,4,FALSE))</f>
        <v/>
      </c>
      <c r="D160" s="5">
        <v>40686</v>
      </c>
      <c r="E160" s="5" t="s">
        <v>212</v>
      </c>
      <c r="F160" s="6">
        <v>42843</v>
      </c>
      <c r="G160" s="5" t="s">
        <v>260</v>
      </c>
      <c r="H160" s="5" t="s">
        <v>109</v>
      </c>
      <c r="I160" s="5" t="s">
        <v>110</v>
      </c>
      <c r="J160" s="5" t="s">
        <v>0</v>
      </c>
      <c r="K160" s="5" t="s">
        <v>1</v>
      </c>
      <c r="L160" s="5" t="s">
        <v>2</v>
      </c>
      <c r="M160" s="5" t="s">
        <v>915</v>
      </c>
      <c r="N160" s="5" t="s">
        <v>327</v>
      </c>
      <c r="O160" s="5" t="s">
        <v>140</v>
      </c>
      <c r="P160" s="5" t="s">
        <v>9</v>
      </c>
      <c r="XFD160"/>
    </row>
    <row r="161" spans="1:16 16384:16384" s="5" customFormat="1">
      <c r="A161" s="5" t="str">
        <f t="shared" si="4"/>
        <v>RAS</v>
      </c>
      <c r="B161" s="5" t="str">
        <f t="shared" si="5"/>
        <v>RAS40687</v>
      </c>
      <c r="C161" s="5" t="str">
        <f>IF(ISNA(VLOOKUP(A161&amp;D161,VCEPReports,4,FALSE)),"",VLOOKUP(A161&amp;D161,VCEPReports,4,FALSE))</f>
        <v/>
      </c>
      <c r="D161" s="5">
        <v>40687</v>
      </c>
      <c r="E161" s="5" t="s">
        <v>65</v>
      </c>
      <c r="F161" s="6">
        <v>42843</v>
      </c>
      <c r="G161" s="5" t="s">
        <v>219</v>
      </c>
      <c r="H161" s="5" t="s">
        <v>109</v>
      </c>
      <c r="I161" s="5" t="s">
        <v>110</v>
      </c>
      <c r="J161" s="5" t="s">
        <v>0</v>
      </c>
      <c r="K161" s="5" t="s">
        <v>1</v>
      </c>
      <c r="L161" s="5" t="s">
        <v>2</v>
      </c>
      <c r="M161" s="5" t="s">
        <v>915</v>
      </c>
      <c r="N161" s="5" t="s">
        <v>328</v>
      </c>
      <c r="O161" s="5" t="s">
        <v>140</v>
      </c>
      <c r="P161" s="5" t="s">
        <v>9</v>
      </c>
      <c r="XFD161"/>
    </row>
    <row r="162" spans="1:16 16384:16384" s="5" customFormat="1">
      <c r="A162" s="5" t="str">
        <f t="shared" si="4"/>
        <v>RAS</v>
      </c>
      <c r="B162" s="5" t="str">
        <f t="shared" si="5"/>
        <v>RAS40692</v>
      </c>
      <c r="C162" s="5" t="str">
        <f>IF(ISNA(VLOOKUP(A162&amp;D162,VCEPReports,4,FALSE)),"",VLOOKUP(A162&amp;D162,VCEPReports,4,FALSE))</f>
        <v/>
      </c>
      <c r="D162" s="5">
        <v>40692</v>
      </c>
      <c r="E162" s="5" t="s">
        <v>65</v>
      </c>
      <c r="F162" s="6">
        <v>42843</v>
      </c>
      <c r="G162" s="5" t="s">
        <v>219</v>
      </c>
      <c r="H162" s="5" t="s">
        <v>109</v>
      </c>
      <c r="I162" s="5" t="s">
        <v>110</v>
      </c>
      <c r="J162" s="5" t="s">
        <v>0</v>
      </c>
      <c r="K162" s="5" t="s">
        <v>1</v>
      </c>
      <c r="L162" s="5" t="s">
        <v>2</v>
      </c>
      <c r="M162" s="5" t="s">
        <v>915</v>
      </c>
      <c r="N162" s="5" t="s">
        <v>329</v>
      </c>
      <c r="O162" s="5" t="s">
        <v>140</v>
      </c>
      <c r="P162" s="5" t="s">
        <v>9</v>
      </c>
      <c r="XFD162"/>
    </row>
    <row r="163" spans="1:16 16384:16384" s="5" customFormat="1">
      <c r="A163" s="5" t="str">
        <f t="shared" si="4"/>
        <v>RAS</v>
      </c>
      <c r="B163" s="5" t="str">
        <f t="shared" si="5"/>
        <v>RAS40697</v>
      </c>
      <c r="C163" s="5" t="str">
        <f>IF(ISNA(VLOOKUP(A163&amp;D163,VCEPReports,4,FALSE)),"",VLOOKUP(A163&amp;D163,VCEPReports,4,FALSE))</f>
        <v/>
      </c>
      <c r="D163" s="5">
        <v>40697</v>
      </c>
      <c r="E163" s="5" t="s">
        <v>65</v>
      </c>
      <c r="F163" s="6">
        <v>42828</v>
      </c>
      <c r="G163" s="5" t="s">
        <v>330</v>
      </c>
      <c r="H163" s="5" t="s">
        <v>109</v>
      </c>
      <c r="I163" s="5" t="s">
        <v>110</v>
      </c>
      <c r="J163" s="5" t="s">
        <v>0</v>
      </c>
      <c r="K163" s="5" t="s">
        <v>1</v>
      </c>
      <c r="L163" s="5" t="s">
        <v>2</v>
      </c>
      <c r="M163" s="5" t="s">
        <v>915</v>
      </c>
      <c r="N163" s="5" t="s">
        <v>331</v>
      </c>
      <c r="O163" s="5" t="s">
        <v>140</v>
      </c>
      <c r="P163" s="5" t="s">
        <v>9</v>
      </c>
      <c r="XFD163"/>
    </row>
    <row r="164" spans="1:16 16384:16384" s="5" customFormat="1">
      <c r="A164" s="5" t="str">
        <f t="shared" si="4"/>
        <v>RAS</v>
      </c>
      <c r="B164" s="5" t="str">
        <f t="shared" si="5"/>
        <v>RAS40698</v>
      </c>
      <c r="C164" s="5" t="str">
        <f>IF(ISNA(VLOOKUP(A164&amp;D164,VCEPReports,4,FALSE)),"",VLOOKUP(A164&amp;D164,VCEPReports,4,FALSE))</f>
        <v/>
      </c>
      <c r="D164" s="5">
        <v>40698</v>
      </c>
      <c r="E164" s="5" t="s">
        <v>212</v>
      </c>
      <c r="F164" s="6">
        <v>42843</v>
      </c>
      <c r="G164" s="5" t="s">
        <v>260</v>
      </c>
      <c r="H164" s="5" t="s">
        <v>109</v>
      </c>
      <c r="I164" s="5" t="s">
        <v>110</v>
      </c>
      <c r="J164" s="5" t="s">
        <v>0</v>
      </c>
      <c r="K164" s="5" t="s">
        <v>1</v>
      </c>
      <c r="L164" s="5" t="s">
        <v>2</v>
      </c>
      <c r="M164" s="5" t="s">
        <v>915</v>
      </c>
      <c r="N164" s="5" t="s">
        <v>332</v>
      </c>
      <c r="O164" s="5" t="s">
        <v>140</v>
      </c>
      <c r="P164" s="5" t="s">
        <v>9</v>
      </c>
      <c r="XFD164"/>
    </row>
    <row r="165" spans="1:16 16384:16384" s="5" customFormat="1">
      <c r="A165" s="5" t="str">
        <f t="shared" si="4"/>
        <v>RAS</v>
      </c>
      <c r="B165" s="5" t="str">
        <f t="shared" si="5"/>
        <v>RAS40702</v>
      </c>
      <c r="C165" s="5" t="str">
        <f>IF(ISNA(VLOOKUP(A165&amp;D165,VCEPReports,4,FALSE)),"",VLOOKUP(A165&amp;D165,VCEPReports,4,FALSE))</f>
        <v/>
      </c>
      <c r="D165" s="5">
        <v>40702</v>
      </c>
      <c r="E165" s="5" t="s">
        <v>65</v>
      </c>
      <c r="F165" s="6">
        <v>42828</v>
      </c>
      <c r="G165" s="5" t="s">
        <v>333</v>
      </c>
      <c r="H165" s="5" t="s">
        <v>109</v>
      </c>
      <c r="I165" s="5" t="s">
        <v>110</v>
      </c>
      <c r="J165" s="5" t="s">
        <v>0</v>
      </c>
      <c r="K165" s="5" t="s">
        <v>1</v>
      </c>
      <c r="L165" s="5" t="s">
        <v>2</v>
      </c>
      <c r="M165" s="5" t="s">
        <v>915</v>
      </c>
      <c r="N165" s="5" t="s">
        <v>334</v>
      </c>
      <c r="O165" s="5" t="s">
        <v>140</v>
      </c>
      <c r="P165" s="5" t="s">
        <v>9</v>
      </c>
      <c r="XFD165"/>
    </row>
    <row r="166" spans="1:16 16384:16384" s="5" customFormat="1">
      <c r="A166" s="5" t="str">
        <f t="shared" si="4"/>
        <v>RAS</v>
      </c>
      <c r="B166" s="5" t="str">
        <f t="shared" si="5"/>
        <v>RAS40706</v>
      </c>
      <c r="C166" s="5" t="str">
        <f>IF(ISNA(VLOOKUP(A166&amp;D166,VCEPReports,4,FALSE)),"",VLOOKUP(A166&amp;D166,VCEPReports,4,FALSE))</f>
        <v/>
      </c>
      <c r="D166" s="5">
        <v>40706</v>
      </c>
      <c r="E166" s="5" t="s">
        <v>3</v>
      </c>
      <c r="F166" s="6">
        <v>42828</v>
      </c>
      <c r="G166" s="5" t="s">
        <v>101</v>
      </c>
      <c r="H166" s="5" t="s">
        <v>118</v>
      </c>
      <c r="I166" s="5" t="s">
        <v>119</v>
      </c>
      <c r="J166" s="5" t="s">
        <v>0</v>
      </c>
      <c r="K166" s="5" t="s">
        <v>1</v>
      </c>
      <c r="L166" s="5" t="s">
        <v>2</v>
      </c>
      <c r="M166" s="5" t="s">
        <v>915</v>
      </c>
      <c r="N166" s="5" t="s">
        <v>335</v>
      </c>
      <c r="O166" s="5" t="s">
        <v>140</v>
      </c>
      <c r="P166" s="5" t="s">
        <v>9</v>
      </c>
      <c r="XFD166"/>
    </row>
    <row r="167" spans="1:16 16384:16384" s="5" customFormat="1">
      <c r="A167" s="5" t="str">
        <f t="shared" si="4"/>
        <v>RAS</v>
      </c>
      <c r="B167" s="5" t="str">
        <f t="shared" si="5"/>
        <v>RAS40708</v>
      </c>
      <c r="C167" s="5" t="str">
        <f>IF(ISNA(VLOOKUP(A167&amp;D167,VCEPReports,4,FALSE)),"",VLOOKUP(A167&amp;D167,VCEPReports,4,FALSE))</f>
        <v/>
      </c>
      <c r="D167" s="5">
        <v>40708</v>
      </c>
      <c r="E167" s="5" t="s">
        <v>65</v>
      </c>
      <c r="F167" s="6">
        <v>42843</v>
      </c>
      <c r="G167" s="5" t="s">
        <v>219</v>
      </c>
      <c r="H167" s="5" t="s">
        <v>109</v>
      </c>
      <c r="I167" s="5" t="s">
        <v>110</v>
      </c>
      <c r="J167" s="5" t="s">
        <v>0</v>
      </c>
      <c r="K167" s="5" t="s">
        <v>1</v>
      </c>
      <c r="L167" s="5" t="s">
        <v>2</v>
      </c>
      <c r="M167" s="5" t="s">
        <v>915</v>
      </c>
      <c r="N167" s="5" t="s">
        <v>336</v>
      </c>
      <c r="O167" s="5" t="s">
        <v>140</v>
      </c>
      <c r="P167" s="5" t="s">
        <v>9</v>
      </c>
      <c r="XFD167"/>
    </row>
    <row r="168" spans="1:16 16384:16384" s="5" customFormat="1">
      <c r="A168" s="5" t="str">
        <f t="shared" si="4"/>
        <v>RAS</v>
      </c>
      <c r="B168" s="5" t="str">
        <f t="shared" si="5"/>
        <v>RAS40713</v>
      </c>
      <c r="C168" s="5" t="str">
        <f>IF(ISNA(VLOOKUP(A168&amp;D168,VCEPReports,4,FALSE)),"",VLOOKUP(A168&amp;D168,VCEPReports,4,FALSE))</f>
        <v/>
      </c>
      <c r="D168" s="5">
        <v>40713</v>
      </c>
      <c r="E168" s="5" t="s">
        <v>65</v>
      </c>
      <c r="F168" s="6">
        <v>42843</v>
      </c>
      <c r="G168" s="5" t="s">
        <v>219</v>
      </c>
      <c r="H168" s="5" t="s">
        <v>109</v>
      </c>
      <c r="I168" s="5" t="s">
        <v>110</v>
      </c>
      <c r="J168" s="5" t="s">
        <v>0</v>
      </c>
      <c r="K168" s="5" t="s">
        <v>1</v>
      </c>
      <c r="L168" s="5" t="s">
        <v>2</v>
      </c>
      <c r="M168" s="5" t="s">
        <v>915</v>
      </c>
      <c r="N168" s="5" t="s">
        <v>337</v>
      </c>
      <c r="O168" s="5" t="s">
        <v>140</v>
      </c>
      <c r="P168" s="5" t="s">
        <v>9</v>
      </c>
      <c r="XFD168"/>
    </row>
    <row r="169" spans="1:16 16384:16384" s="5" customFormat="1">
      <c r="A169" s="5" t="str">
        <f t="shared" si="4"/>
        <v>RAS</v>
      </c>
      <c r="B169" s="5" t="str">
        <f t="shared" si="5"/>
        <v>RAS40714</v>
      </c>
      <c r="C169" s="5" t="str">
        <f>IF(ISNA(VLOOKUP(A169&amp;D169,VCEPReports,4,FALSE)),"",VLOOKUP(A169&amp;D169,VCEPReports,4,FALSE))</f>
        <v/>
      </c>
      <c r="D169" s="5">
        <v>40714</v>
      </c>
      <c r="E169" s="5" t="s">
        <v>65</v>
      </c>
      <c r="F169" s="6">
        <v>42843</v>
      </c>
      <c r="G169" s="5" t="s">
        <v>219</v>
      </c>
      <c r="H169" s="5" t="s">
        <v>109</v>
      </c>
      <c r="I169" s="5" t="s">
        <v>110</v>
      </c>
      <c r="J169" s="5" t="s">
        <v>0</v>
      </c>
      <c r="K169" s="5" t="s">
        <v>1</v>
      </c>
      <c r="L169" s="5" t="s">
        <v>2</v>
      </c>
      <c r="M169" s="5" t="s">
        <v>915</v>
      </c>
      <c r="N169" s="5" t="s">
        <v>338</v>
      </c>
      <c r="O169" s="5" t="s">
        <v>140</v>
      </c>
      <c r="P169" s="5" t="s">
        <v>9</v>
      </c>
      <c r="XFD169"/>
    </row>
    <row r="170" spans="1:16 16384:16384" s="5" customFormat="1">
      <c r="A170" s="5" t="str">
        <f t="shared" si="4"/>
        <v>RAS</v>
      </c>
      <c r="B170" s="5" t="str">
        <f t="shared" si="5"/>
        <v>RAS40716</v>
      </c>
      <c r="C170" s="5" t="str">
        <f>IF(ISNA(VLOOKUP(A170&amp;D170,VCEPReports,4,FALSE)),"",VLOOKUP(A170&amp;D170,VCEPReports,4,FALSE))</f>
        <v/>
      </c>
      <c r="D170" s="5">
        <v>40716</v>
      </c>
      <c r="E170" s="5" t="s">
        <v>65</v>
      </c>
      <c r="F170" s="6">
        <v>42828</v>
      </c>
      <c r="G170" s="5" t="s">
        <v>339</v>
      </c>
      <c r="H170" s="5" t="s">
        <v>109</v>
      </c>
      <c r="I170" s="5" t="s">
        <v>110</v>
      </c>
      <c r="J170" s="5" t="s">
        <v>0</v>
      </c>
      <c r="K170" s="5" t="s">
        <v>1</v>
      </c>
      <c r="L170" s="5" t="s">
        <v>2</v>
      </c>
      <c r="M170" s="5" t="s">
        <v>915</v>
      </c>
      <c r="N170" s="5" t="s">
        <v>340</v>
      </c>
      <c r="O170" s="5" t="s">
        <v>140</v>
      </c>
      <c r="P170" s="5" t="s">
        <v>9</v>
      </c>
      <c r="XFD170"/>
    </row>
    <row r="171" spans="1:16 16384:16384" s="5" customFormat="1">
      <c r="A171" s="5" t="str">
        <f t="shared" si="4"/>
        <v>RAS</v>
      </c>
      <c r="B171" s="5" t="str">
        <f t="shared" si="5"/>
        <v>RAS40747</v>
      </c>
      <c r="C171" s="5" t="str">
        <f>IF(ISNA(VLOOKUP(A171&amp;D171,VCEPReports,4,FALSE)),"",VLOOKUP(A171&amp;D171,VCEPReports,4,FALSE))</f>
        <v/>
      </c>
      <c r="D171" s="5">
        <v>40747</v>
      </c>
      <c r="E171" s="5" t="s">
        <v>24</v>
      </c>
      <c r="F171" s="6">
        <v>42864</v>
      </c>
      <c r="G171" s="5" t="s">
        <v>341</v>
      </c>
      <c r="H171" s="5" t="s">
        <v>102</v>
      </c>
      <c r="I171" s="5" t="s">
        <v>103</v>
      </c>
      <c r="J171" s="5" t="s">
        <v>0</v>
      </c>
      <c r="K171" s="5" t="s">
        <v>1</v>
      </c>
      <c r="L171" s="5" t="s">
        <v>2</v>
      </c>
      <c r="M171" s="5" t="s">
        <v>915</v>
      </c>
      <c r="N171" s="5" t="s">
        <v>342</v>
      </c>
      <c r="O171" s="5" t="s">
        <v>153</v>
      </c>
      <c r="P171" s="5" t="s">
        <v>9</v>
      </c>
      <c r="XFD171"/>
    </row>
    <row r="172" spans="1:16 16384:16384" s="5" customFormat="1">
      <c r="A172" s="5" t="str">
        <f t="shared" si="4"/>
        <v>RAS</v>
      </c>
      <c r="B172" s="5" t="str">
        <f t="shared" si="5"/>
        <v>RAS40754</v>
      </c>
      <c r="C172" s="5" t="str">
        <f>IF(ISNA(VLOOKUP(A172&amp;D172,VCEPReports,4,FALSE)),"",VLOOKUP(A172&amp;D172,VCEPReports,4,FALSE))</f>
        <v/>
      </c>
      <c r="D172" s="5">
        <v>40754</v>
      </c>
      <c r="E172" s="5" t="s">
        <v>65</v>
      </c>
      <c r="F172" s="6">
        <v>42864</v>
      </c>
      <c r="G172" s="5" t="s">
        <v>343</v>
      </c>
      <c r="H172" s="5" t="s">
        <v>109</v>
      </c>
      <c r="I172" s="5" t="s">
        <v>110</v>
      </c>
      <c r="J172" s="5" t="s">
        <v>0</v>
      </c>
      <c r="K172" s="5" t="s">
        <v>1</v>
      </c>
      <c r="L172" s="5" t="s">
        <v>2</v>
      </c>
      <c r="M172" s="5" t="s">
        <v>915</v>
      </c>
      <c r="N172" s="5" t="s">
        <v>344</v>
      </c>
      <c r="O172" s="5" t="s">
        <v>153</v>
      </c>
      <c r="P172" s="5" t="s">
        <v>9</v>
      </c>
      <c r="XFD172"/>
    </row>
    <row r="173" spans="1:16 16384:16384" s="5" customFormat="1">
      <c r="A173" s="5" t="str">
        <f t="shared" si="4"/>
        <v>RAS</v>
      </c>
      <c r="B173" s="5" t="str">
        <f t="shared" si="5"/>
        <v>RAS40756</v>
      </c>
      <c r="C173" s="5" t="str">
        <f>IF(ISNA(VLOOKUP(A173&amp;D173,VCEPReports,4,FALSE)),"",VLOOKUP(A173&amp;D173,VCEPReports,4,FALSE))</f>
        <v/>
      </c>
      <c r="D173" s="5">
        <v>40756</v>
      </c>
      <c r="E173" s="5" t="s">
        <v>65</v>
      </c>
      <c r="F173" s="6">
        <v>42864</v>
      </c>
      <c r="G173" s="5" t="s">
        <v>345</v>
      </c>
      <c r="H173" s="5" t="s">
        <v>109</v>
      </c>
      <c r="I173" s="5" t="s">
        <v>110</v>
      </c>
      <c r="J173" s="5" t="s">
        <v>0</v>
      </c>
      <c r="K173" s="5" t="s">
        <v>1</v>
      </c>
      <c r="L173" s="5" t="s">
        <v>2</v>
      </c>
      <c r="M173" s="5" t="s">
        <v>915</v>
      </c>
      <c r="N173" s="5" t="s">
        <v>346</v>
      </c>
      <c r="O173" s="5" t="s">
        <v>153</v>
      </c>
      <c r="P173" s="5" t="s">
        <v>9</v>
      </c>
      <c r="XFD173"/>
    </row>
    <row r="174" spans="1:16 16384:16384" s="5" customFormat="1">
      <c r="A174" s="5" t="str">
        <f t="shared" si="4"/>
        <v>RAS</v>
      </c>
      <c r="B174" s="5" t="str">
        <f t="shared" si="5"/>
        <v>RAS40758</v>
      </c>
      <c r="C174" s="5" t="str">
        <f>IF(ISNA(VLOOKUP(A174&amp;D174,VCEPReports,4,FALSE)),"",VLOOKUP(A174&amp;D174,VCEPReports,4,FALSE))</f>
        <v/>
      </c>
      <c r="D174" s="5">
        <v>40758</v>
      </c>
      <c r="E174" s="5" t="s">
        <v>65</v>
      </c>
      <c r="F174" s="6">
        <v>42864</v>
      </c>
      <c r="G174" s="5" t="s">
        <v>343</v>
      </c>
      <c r="H174" s="5" t="s">
        <v>109</v>
      </c>
      <c r="I174" s="5" t="s">
        <v>110</v>
      </c>
      <c r="J174" s="5" t="s">
        <v>0</v>
      </c>
      <c r="K174" s="5" t="s">
        <v>1</v>
      </c>
      <c r="L174" s="5" t="s">
        <v>2</v>
      </c>
      <c r="M174" s="5" t="s">
        <v>915</v>
      </c>
      <c r="N174" s="5" t="s">
        <v>347</v>
      </c>
      <c r="O174" s="5" t="s">
        <v>153</v>
      </c>
      <c r="P174" s="5" t="s">
        <v>9</v>
      </c>
      <c r="XFD174"/>
    </row>
    <row r="175" spans="1:16 16384:16384" s="5" customFormat="1">
      <c r="A175" s="5" t="str">
        <f t="shared" si="4"/>
        <v>RAS</v>
      </c>
      <c r="B175" s="5" t="str">
        <f t="shared" si="5"/>
        <v>RAS40760</v>
      </c>
      <c r="C175" s="5" t="str">
        <f>IF(ISNA(VLOOKUP(A175&amp;D175,VCEPReports,4,FALSE)),"",VLOOKUP(A175&amp;D175,VCEPReports,4,FALSE))</f>
        <v/>
      </c>
      <c r="D175" s="5">
        <v>40760</v>
      </c>
      <c r="E175" s="5" t="s">
        <v>65</v>
      </c>
      <c r="F175" s="6">
        <v>42864</v>
      </c>
      <c r="G175" s="5" t="s">
        <v>343</v>
      </c>
      <c r="H175" s="5" t="s">
        <v>109</v>
      </c>
      <c r="I175" s="5" t="s">
        <v>110</v>
      </c>
      <c r="J175" s="5" t="s">
        <v>0</v>
      </c>
      <c r="K175" s="5" t="s">
        <v>1</v>
      </c>
      <c r="L175" s="5" t="s">
        <v>2</v>
      </c>
      <c r="M175" s="5" t="s">
        <v>915</v>
      </c>
      <c r="N175" s="5" t="s">
        <v>348</v>
      </c>
      <c r="O175" s="5" t="s">
        <v>153</v>
      </c>
      <c r="P175" s="5" t="s">
        <v>9</v>
      </c>
      <c r="XFD175"/>
    </row>
    <row r="176" spans="1:16 16384:16384" s="5" customFormat="1">
      <c r="A176" s="5" t="str">
        <f t="shared" si="4"/>
        <v>RAS</v>
      </c>
      <c r="B176" s="5" t="str">
        <f t="shared" si="5"/>
        <v>RAS40762</v>
      </c>
      <c r="C176" s="5" t="str">
        <f>IF(ISNA(VLOOKUP(A176&amp;D176,VCEPReports,4,FALSE)),"",VLOOKUP(A176&amp;D176,VCEPReports,4,FALSE))</f>
        <v/>
      </c>
      <c r="D176" s="5">
        <v>40762</v>
      </c>
      <c r="E176" s="5" t="s">
        <v>65</v>
      </c>
      <c r="F176" s="6">
        <v>42864</v>
      </c>
      <c r="G176" s="5" t="s">
        <v>343</v>
      </c>
      <c r="H176" s="5" t="s">
        <v>109</v>
      </c>
      <c r="I176" s="5" t="s">
        <v>110</v>
      </c>
      <c r="J176" s="5" t="s">
        <v>0</v>
      </c>
      <c r="K176" s="5" t="s">
        <v>1</v>
      </c>
      <c r="L176" s="5" t="s">
        <v>2</v>
      </c>
      <c r="M176" s="5" t="s">
        <v>915</v>
      </c>
      <c r="N176" s="5" t="s">
        <v>349</v>
      </c>
      <c r="O176" s="5" t="s">
        <v>153</v>
      </c>
      <c r="P176" s="5" t="s">
        <v>9</v>
      </c>
      <c r="XFD176"/>
    </row>
    <row r="177" spans="1:16 16384:16384" s="5" customFormat="1">
      <c r="A177" s="5" t="str">
        <f t="shared" si="4"/>
        <v>RAS</v>
      </c>
      <c r="B177" s="5" t="str">
        <f t="shared" si="5"/>
        <v>RAS40770</v>
      </c>
      <c r="C177" s="5" t="str">
        <f>IF(ISNA(VLOOKUP(A177&amp;D177,VCEPReports,4,FALSE)),"",VLOOKUP(A177&amp;D177,VCEPReports,4,FALSE))</f>
        <v/>
      </c>
      <c r="D177" s="5">
        <v>40770</v>
      </c>
      <c r="E177" s="5" t="s">
        <v>65</v>
      </c>
      <c r="F177" s="6">
        <v>42864</v>
      </c>
      <c r="G177" s="5" t="s">
        <v>343</v>
      </c>
      <c r="H177" s="5" t="s">
        <v>109</v>
      </c>
      <c r="I177" s="5" t="s">
        <v>110</v>
      </c>
      <c r="J177" s="5" t="s">
        <v>0</v>
      </c>
      <c r="K177" s="5" t="s">
        <v>1</v>
      </c>
      <c r="L177" s="5" t="s">
        <v>2</v>
      </c>
      <c r="M177" s="5" t="s">
        <v>915</v>
      </c>
      <c r="N177" s="5" t="s">
        <v>350</v>
      </c>
      <c r="O177" s="5" t="s">
        <v>105</v>
      </c>
      <c r="P177" s="5" t="s">
        <v>9</v>
      </c>
      <c r="XFD177"/>
    </row>
    <row r="178" spans="1:16 16384:16384" s="5" customFormat="1">
      <c r="A178" s="5" t="str">
        <f t="shared" si="4"/>
        <v>RAS</v>
      </c>
      <c r="B178" s="5" t="str">
        <f t="shared" si="5"/>
        <v>RAS40779</v>
      </c>
      <c r="C178" s="5" t="str">
        <f>IF(ISNA(VLOOKUP(A178&amp;D178,VCEPReports,4,FALSE)),"",VLOOKUP(A178&amp;D178,VCEPReports,4,FALSE))</f>
        <v/>
      </c>
      <c r="D178" s="5">
        <v>40779</v>
      </c>
      <c r="E178" s="5" t="s">
        <v>24</v>
      </c>
      <c r="F178" s="6">
        <v>42864</v>
      </c>
      <c r="G178" s="5" t="s">
        <v>351</v>
      </c>
      <c r="H178" s="5" t="s">
        <v>102</v>
      </c>
      <c r="I178" s="5" t="s">
        <v>103</v>
      </c>
      <c r="J178" s="5" t="s">
        <v>0</v>
      </c>
      <c r="K178" s="5" t="s">
        <v>1</v>
      </c>
      <c r="L178" s="5" t="s">
        <v>2</v>
      </c>
      <c r="M178" s="5" t="s">
        <v>915</v>
      </c>
      <c r="N178" s="5" t="s">
        <v>352</v>
      </c>
      <c r="O178" s="5" t="s">
        <v>153</v>
      </c>
      <c r="P178" s="5" t="s">
        <v>9</v>
      </c>
      <c r="XFD178"/>
    </row>
    <row r="179" spans="1:16 16384:16384" s="5" customFormat="1">
      <c r="A179" s="5" t="str">
        <f t="shared" si="4"/>
        <v>RAS</v>
      </c>
      <c r="B179" s="5" t="str">
        <f t="shared" si="5"/>
        <v>RAS40781</v>
      </c>
      <c r="C179" s="5" t="str">
        <f>IF(ISNA(VLOOKUP(A179&amp;D179,VCEPReports,4,FALSE)),"",VLOOKUP(A179&amp;D179,VCEPReports,4,FALSE))</f>
        <v/>
      </c>
      <c r="D179" s="5">
        <v>40781</v>
      </c>
      <c r="E179" s="5" t="s">
        <v>3</v>
      </c>
      <c r="F179" s="6">
        <v>42864</v>
      </c>
      <c r="G179" s="5" t="s">
        <v>275</v>
      </c>
      <c r="H179" s="5" t="s">
        <v>102</v>
      </c>
      <c r="I179" s="5" t="s">
        <v>103</v>
      </c>
      <c r="J179" s="5" t="s">
        <v>0</v>
      </c>
      <c r="K179" s="5" t="s">
        <v>1</v>
      </c>
      <c r="L179" s="5" t="s">
        <v>2</v>
      </c>
      <c r="M179" s="5" t="s">
        <v>915</v>
      </c>
      <c r="N179" s="5" t="s">
        <v>353</v>
      </c>
      <c r="O179" s="5" t="s">
        <v>153</v>
      </c>
      <c r="P179" s="5" t="s">
        <v>9</v>
      </c>
      <c r="XFD179"/>
    </row>
    <row r="180" spans="1:16 16384:16384" s="5" customFormat="1">
      <c r="A180" s="5" t="str">
        <f t="shared" si="4"/>
        <v>RAS</v>
      </c>
      <c r="B180" s="5" t="str">
        <f t="shared" si="5"/>
        <v>RAS40786</v>
      </c>
      <c r="C180" s="5" t="str">
        <f>IF(ISNA(VLOOKUP(A180&amp;D180,VCEPReports,4,FALSE)),"",VLOOKUP(A180&amp;D180,VCEPReports,4,FALSE))</f>
        <v/>
      </c>
      <c r="D180" s="5">
        <v>40786</v>
      </c>
      <c r="E180" s="5" t="s">
        <v>86</v>
      </c>
      <c r="F180" s="6">
        <v>42864</v>
      </c>
      <c r="G180" s="5" t="s">
        <v>354</v>
      </c>
      <c r="H180" s="5" t="s">
        <v>109</v>
      </c>
      <c r="I180" s="5" t="s">
        <v>110</v>
      </c>
      <c r="J180" s="5" t="s">
        <v>0</v>
      </c>
      <c r="K180" s="5" t="s">
        <v>1</v>
      </c>
      <c r="L180" s="5" t="s">
        <v>2</v>
      </c>
      <c r="M180" s="5" t="s">
        <v>915</v>
      </c>
      <c r="N180" s="5" t="s">
        <v>355</v>
      </c>
      <c r="O180" s="5" t="s">
        <v>105</v>
      </c>
      <c r="P180" s="5" t="s">
        <v>9</v>
      </c>
      <c r="XFD180"/>
    </row>
    <row r="181" spans="1:16 16384:16384" s="5" customFormat="1">
      <c r="A181" s="5" t="str">
        <f t="shared" si="4"/>
        <v>RAS</v>
      </c>
      <c r="B181" s="5" t="str">
        <f t="shared" si="5"/>
        <v>RAS40787</v>
      </c>
      <c r="C181" s="5" t="str">
        <f>IF(ISNA(VLOOKUP(A181&amp;D181,VCEPReports,4,FALSE)),"",VLOOKUP(A181&amp;D181,VCEPReports,4,FALSE))</f>
        <v/>
      </c>
      <c r="D181" s="5">
        <v>40787</v>
      </c>
      <c r="E181" s="5" t="s">
        <v>65</v>
      </c>
      <c r="F181" s="6">
        <v>42864</v>
      </c>
      <c r="G181" s="5" t="s">
        <v>343</v>
      </c>
      <c r="H181" s="5" t="s">
        <v>109</v>
      </c>
      <c r="I181" s="5" t="s">
        <v>110</v>
      </c>
      <c r="J181" s="5" t="s">
        <v>0</v>
      </c>
      <c r="K181" s="5" t="s">
        <v>1</v>
      </c>
      <c r="L181" s="5" t="s">
        <v>2</v>
      </c>
      <c r="M181" s="5" t="s">
        <v>915</v>
      </c>
      <c r="N181" s="5" t="s">
        <v>356</v>
      </c>
      <c r="O181" s="5" t="s">
        <v>105</v>
      </c>
      <c r="P181" s="5" t="s">
        <v>9</v>
      </c>
      <c r="XFD181"/>
    </row>
    <row r="182" spans="1:16 16384:16384" s="5" customFormat="1">
      <c r="A182" s="5" t="str">
        <f t="shared" si="4"/>
        <v>RAS</v>
      </c>
      <c r="B182" s="5" t="str">
        <f t="shared" si="5"/>
        <v>RAS40793</v>
      </c>
      <c r="C182" s="5" t="str">
        <f>IF(ISNA(VLOOKUP(A182&amp;D182,VCEPReports,4,FALSE)),"",VLOOKUP(A182&amp;D182,VCEPReports,4,FALSE))</f>
        <v/>
      </c>
      <c r="D182" s="5">
        <v>40793</v>
      </c>
      <c r="E182" s="5" t="s">
        <v>65</v>
      </c>
      <c r="F182" s="6">
        <v>42864</v>
      </c>
      <c r="G182" s="5" t="s">
        <v>343</v>
      </c>
      <c r="H182" s="5" t="s">
        <v>109</v>
      </c>
      <c r="I182" s="5" t="s">
        <v>110</v>
      </c>
      <c r="J182" s="5" t="s">
        <v>0</v>
      </c>
      <c r="K182" s="5" t="s">
        <v>1</v>
      </c>
      <c r="L182" s="5" t="s">
        <v>2</v>
      </c>
      <c r="M182" s="5" t="s">
        <v>915</v>
      </c>
      <c r="N182" s="5" t="s">
        <v>357</v>
      </c>
      <c r="O182" s="5" t="s">
        <v>105</v>
      </c>
      <c r="P182" s="5" t="s">
        <v>9</v>
      </c>
      <c r="XFD182"/>
    </row>
    <row r="183" spans="1:16 16384:16384" s="5" customFormat="1">
      <c r="A183" s="5" t="str">
        <f t="shared" si="4"/>
        <v>RAS</v>
      </c>
      <c r="B183" s="5" t="str">
        <f t="shared" si="5"/>
        <v>RAS40802</v>
      </c>
      <c r="C183" s="5" t="str">
        <f>IF(ISNA(VLOOKUP(A183&amp;D183,VCEPReports,4,FALSE)),"",VLOOKUP(A183&amp;D183,VCEPReports,4,FALSE))</f>
        <v/>
      </c>
      <c r="D183" s="5">
        <v>40802</v>
      </c>
      <c r="E183" s="5" t="s">
        <v>65</v>
      </c>
      <c r="F183" s="6">
        <v>42864</v>
      </c>
      <c r="G183" s="5" t="s">
        <v>343</v>
      </c>
      <c r="H183" s="5" t="s">
        <v>109</v>
      </c>
      <c r="I183" s="5" t="s">
        <v>110</v>
      </c>
      <c r="J183" s="5" t="s">
        <v>0</v>
      </c>
      <c r="K183" s="5" t="s">
        <v>1</v>
      </c>
      <c r="L183" s="5" t="s">
        <v>2</v>
      </c>
      <c r="M183" s="5" t="s">
        <v>915</v>
      </c>
      <c r="N183" s="5" t="s">
        <v>358</v>
      </c>
      <c r="O183" s="5" t="s">
        <v>105</v>
      </c>
      <c r="P183" s="5" t="s">
        <v>9</v>
      </c>
      <c r="XFD183"/>
    </row>
    <row r="184" spans="1:16 16384:16384" s="5" customFormat="1">
      <c r="A184" s="5" t="str">
        <f t="shared" si="4"/>
        <v>RAS</v>
      </c>
      <c r="B184" s="5" t="str">
        <f t="shared" si="5"/>
        <v>RAS40808</v>
      </c>
      <c r="C184" s="5" t="str">
        <f>IF(ISNA(VLOOKUP(A184&amp;D184,VCEPReports,4,FALSE)),"",VLOOKUP(A184&amp;D184,VCEPReports,4,FALSE))</f>
        <v/>
      </c>
      <c r="D184" s="5">
        <v>40808</v>
      </c>
      <c r="E184" s="5" t="s">
        <v>65</v>
      </c>
      <c r="F184" s="6">
        <v>42864</v>
      </c>
      <c r="G184" s="5" t="s">
        <v>343</v>
      </c>
      <c r="H184" s="5" t="s">
        <v>109</v>
      </c>
      <c r="I184" s="5" t="s">
        <v>110</v>
      </c>
      <c r="J184" s="5" t="s">
        <v>0</v>
      </c>
      <c r="K184" s="5" t="s">
        <v>1</v>
      </c>
      <c r="L184" s="5" t="s">
        <v>2</v>
      </c>
      <c r="M184" s="5" t="s">
        <v>915</v>
      </c>
      <c r="N184" s="5" t="s">
        <v>359</v>
      </c>
      <c r="O184" s="5" t="s">
        <v>105</v>
      </c>
      <c r="P184" s="5" t="s">
        <v>9</v>
      </c>
      <c r="XFD184"/>
    </row>
    <row r="185" spans="1:16 16384:16384" s="5" customFormat="1">
      <c r="A185" s="5" t="str">
        <f t="shared" si="4"/>
        <v>RAS</v>
      </c>
      <c r="B185" s="5" t="str">
        <f t="shared" si="5"/>
        <v>RAS40811</v>
      </c>
      <c r="C185" s="5" t="str">
        <f>IF(ISNA(VLOOKUP(A185&amp;D185,VCEPReports,4,FALSE)),"",VLOOKUP(A185&amp;D185,VCEPReports,4,FALSE))</f>
        <v/>
      </c>
      <c r="D185" s="5">
        <v>40811</v>
      </c>
      <c r="E185" s="5" t="s">
        <v>65</v>
      </c>
      <c r="F185" s="6">
        <v>42864</v>
      </c>
      <c r="G185" s="5" t="s">
        <v>343</v>
      </c>
      <c r="H185" s="5" t="s">
        <v>109</v>
      </c>
      <c r="I185" s="5" t="s">
        <v>110</v>
      </c>
      <c r="J185" s="5" t="s">
        <v>0</v>
      </c>
      <c r="K185" s="5" t="s">
        <v>1</v>
      </c>
      <c r="L185" s="5" t="s">
        <v>2</v>
      </c>
      <c r="M185" s="5" t="s">
        <v>915</v>
      </c>
      <c r="N185" s="5" t="s">
        <v>360</v>
      </c>
      <c r="O185" s="5" t="s">
        <v>105</v>
      </c>
      <c r="P185" s="5" t="s">
        <v>9</v>
      </c>
      <c r="XFD185"/>
    </row>
    <row r="186" spans="1:16 16384:16384" s="5" customFormat="1">
      <c r="A186" s="5" t="str">
        <f t="shared" si="4"/>
        <v>RAS</v>
      </c>
      <c r="B186" s="5" t="str">
        <f t="shared" si="5"/>
        <v>RAS40813</v>
      </c>
      <c r="C186" s="5" t="str">
        <f>IF(ISNA(VLOOKUP(A186&amp;D186,VCEPReports,4,FALSE)),"",VLOOKUP(A186&amp;D186,VCEPReports,4,FALSE))</f>
        <v/>
      </c>
      <c r="D186" s="5">
        <v>40813</v>
      </c>
      <c r="E186" s="5" t="s">
        <v>24</v>
      </c>
      <c r="F186" s="6">
        <v>42864</v>
      </c>
      <c r="G186" s="5" t="s">
        <v>361</v>
      </c>
      <c r="H186" s="5" t="s">
        <v>102</v>
      </c>
      <c r="I186" s="5" t="s">
        <v>103</v>
      </c>
      <c r="J186" s="5" t="s">
        <v>0</v>
      </c>
      <c r="K186" s="5" t="s">
        <v>1</v>
      </c>
      <c r="L186" s="5" t="s">
        <v>2</v>
      </c>
      <c r="M186" s="5" t="s">
        <v>915</v>
      </c>
      <c r="N186" s="5" t="s">
        <v>362</v>
      </c>
      <c r="O186" s="5" t="s">
        <v>105</v>
      </c>
      <c r="P186" s="5" t="s">
        <v>9</v>
      </c>
      <c r="XFD186"/>
    </row>
    <row r="187" spans="1:16 16384:16384" s="5" customFormat="1">
      <c r="A187" s="5" t="str">
        <f t="shared" si="4"/>
        <v>RAS</v>
      </c>
      <c r="B187" s="5" t="str">
        <f t="shared" si="5"/>
        <v>RAS40816</v>
      </c>
      <c r="C187" s="5" t="str">
        <f>IF(ISNA(VLOOKUP(A187&amp;D187,VCEPReports,4,FALSE)),"",VLOOKUP(A187&amp;D187,VCEPReports,4,FALSE))</f>
        <v/>
      </c>
      <c r="D187" s="5">
        <v>40816</v>
      </c>
      <c r="E187" s="5" t="s">
        <v>65</v>
      </c>
      <c r="F187" s="6">
        <v>42864</v>
      </c>
      <c r="G187" s="5" t="s">
        <v>343</v>
      </c>
      <c r="H187" s="5" t="s">
        <v>109</v>
      </c>
      <c r="I187" s="5" t="s">
        <v>110</v>
      </c>
      <c r="J187" s="5" t="s">
        <v>0</v>
      </c>
      <c r="K187" s="5" t="s">
        <v>1</v>
      </c>
      <c r="L187" s="5" t="s">
        <v>2</v>
      </c>
      <c r="M187" s="5" t="s">
        <v>915</v>
      </c>
      <c r="N187" s="5" t="s">
        <v>363</v>
      </c>
      <c r="O187" s="5" t="s">
        <v>105</v>
      </c>
      <c r="P187" s="5" t="s">
        <v>9</v>
      </c>
      <c r="XFD187"/>
    </row>
    <row r="188" spans="1:16 16384:16384" s="5" customFormat="1">
      <c r="A188" s="5" t="str">
        <f t="shared" si="4"/>
        <v>RAS</v>
      </c>
      <c r="B188" s="5" t="str">
        <f t="shared" si="5"/>
        <v>RAS40824</v>
      </c>
      <c r="C188" s="5" t="str">
        <f>IF(ISNA(VLOOKUP(A188&amp;D188,VCEPReports,4,FALSE)),"",VLOOKUP(A188&amp;D188,VCEPReports,4,FALSE))</f>
        <v/>
      </c>
      <c r="D188" s="5">
        <v>40824</v>
      </c>
      <c r="E188" s="5" t="s">
        <v>212</v>
      </c>
      <c r="F188" s="6">
        <v>42864</v>
      </c>
      <c r="G188" s="5" t="s">
        <v>364</v>
      </c>
      <c r="H188" s="5" t="s">
        <v>109</v>
      </c>
      <c r="I188" s="5" t="s">
        <v>110</v>
      </c>
      <c r="J188" s="5" t="s">
        <v>0</v>
      </c>
      <c r="K188" s="5" t="s">
        <v>1</v>
      </c>
      <c r="L188" s="5" t="s">
        <v>2</v>
      </c>
      <c r="M188" s="5" t="s">
        <v>915</v>
      </c>
      <c r="N188" s="5" t="s">
        <v>365</v>
      </c>
      <c r="O188" s="5" t="s">
        <v>105</v>
      </c>
      <c r="P188" s="5" t="s">
        <v>9</v>
      </c>
      <c r="XFD188"/>
    </row>
    <row r="189" spans="1:16 16384:16384" s="5" customFormat="1">
      <c r="A189" s="5" t="str">
        <f t="shared" si="4"/>
        <v>RAS</v>
      </c>
      <c r="B189" s="5" t="str">
        <f t="shared" si="5"/>
        <v>RAS40825</v>
      </c>
      <c r="C189" s="5" t="str">
        <f>IF(ISNA(VLOOKUP(A189&amp;D189,VCEPReports,4,FALSE)),"",VLOOKUP(A189&amp;D189,VCEPReports,4,FALSE))</f>
        <v/>
      </c>
      <c r="D189" s="5">
        <v>40825</v>
      </c>
      <c r="E189" s="5" t="s">
        <v>65</v>
      </c>
      <c r="F189" s="6">
        <v>42864</v>
      </c>
      <c r="G189" s="5" t="s">
        <v>343</v>
      </c>
      <c r="H189" s="5" t="s">
        <v>109</v>
      </c>
      <c r="I189" s="5" t="s">
        <v>110</v>
      </c>
      <c r="J189" s="5" t="s">
        <v>0</v>
      </c>
      <c r="K189" s="5" t="s">
        <v>1</v>
      </c>
      <c r="L189" s="5" t="s">
        <v>2</v>
      </c>
      <c r="M189" s="5" t="s">
        <v>915</v>
      </c>
      <c r="N189" s="5" t="s">
        <v>366</v>
      </c>
      <c r="O189" s="5" t="s">
        <v>105</v>
      </c>
      <c r="P189" s="5" t="s">
        <v>9</v>
      </c>
      <c r="XFD189"/>
    </row>
    <row r="190" spans="1:16 16384:16384" s="5" customFormat="1">
      <c r="A190" s="5" t="str">
        <f t="shared" si="4"/>
        <v>RAS</v>
      </c>
      <c r="B190" s="5" t="str">
        <f t="shared" si="5"/>
        <v>RAS40826</v>
      </c>
      <c r="C190" s="5" t="str">
        <f>IF(ISNA(VLOOKUP(A190&amp;D190,VCEPReports,4,FALSE)),"",VLOOKUP(A190&amp;D190,VCEPReports,4,FALSE))</f>
        <v/>
      </c>
      <c r="D190" s="5">
        <v>40826</v>
      </c>
      <c r="E190" s="5" t="s">
        <v>65</v>
      </c>
      <c r="F190" s="6">
        <v>42864</v>
      </c>
      <c r="G190" s="5" t="s">
        <v>367</v>
      </c>
      <c r="H190" s="5" t="s">
        <v>109</v>
      </c>
      <c r="I190" s="5" t="s">
        <v>110</v>
      </c>
      <c r="J190" s="5" t="s">
        <v>0</v>
      </c>
      <c r="K190" s="5" t="s">
        <v>1</v>
      </c>
      <c r="L190" s="5" t="s">
        <v>2</v>
      </c>
      <c r="M190" s="5" t="s">
        <v>915</v>
      </c>
      <c r="N190" s="5" t="s">
        <v>368</v>
      </c>
      <c r="O190" s="5" t="s">
        <v>105</v>
      </c>
      <c r="P190" s="5" t="s">
        <v>9</v>
      </c>
      <c r="XFD190"/>
    </row>
    <row r="191" spans="1:16 16384:16384" s="5" customFormat="1">
      <c r="A191" s="5" t="str">
        <f t="shared" si="4"/>
        <v>RAS</v>
      </c>
      <c r="B191" s="5" t="str">
        <f t="shared" si="5"/>
        <v>RAS40827</v>
      </c>
      <c r="C191" s="5" t="str">
        <f>IF(ISNA(VLOOKUP(A191&amp;D191,VCEPReports,4,FALSE)),"",VLOOKUP(A191&amp;D191,VCEPReports,4,FALSE))</f>
        <v/>
      </c>
      <c r="D191" s="5">
        <v>40827</v>
      </c>
      <c r="E191" s="5" t="s">
        <v>65</v>
      </c>
      <c r="F191" s="6">
        <v>42864</v>
      </c>
      <c r="G191" s="5" t="s">
        <v>343</v>
      </c>
      <c r="H191" s="5" t="s">
        <v>109</v>
      </c>
      <c r="I191" s="5" t="s">
        <v>110</v>
      </c>
      <c r="J191" s="5" t="s">
        <v>0</v>
      </c>
      <c r="K191" s="5" t="s">
        <v>1</v>
      </c>
      <c r="L191" s="5" t="s">
        <v>2</v>
      </c>
      <c r="M191" s="5" t="s">
        <v>915</v>
      </c>
      <c r="N191" s="5" t="s">
        <v>369</v>
      </c>
      <c r="O191" s="5" t="s">
        <v>105</v>
      </c>
      <c r="P191" s="5" t="s">
        <v>9</v>
      </c>
      <c r="XFD191"/>
    </row>
    <row r="192" spans="1:16 16384:16384" s="5" customFormat="1">
      <c r="A192" s="5" t="str">
        <f t="shared" si="4"/>
        <v>RAS</v>
      </c>
      <c r="B192" s="5" t="str">
        <f t="shared" si="5"/>
        <v>RAS40832</v>
      </c>
      <c r="C192" s="5" t="str">
        <f>IF(ISNA(VLOOKUP(A192&amp;D192,VCEPReports,4,FALSE)),"",VLOOKUP(A192&amp;D192,VCEPReports,4,FALSE))</f>
        <v/>
      </c>
      <c r="D192" s="5">
        <v>40832</v>
      </c>
      <c r="E192" s="5" t="s">
        <v>65</v>
      </c>
      <c r="F192" s="6">
        <v>42864</v>
      </c>
      <c r="G192" s="5" t="s">
        <v>343</v>
      </c>
      <c r="H192" s="5" t="s">
        <v>109</v>
      </c>
      <c r="I192" s="5" t="s">
        <v>110</v>
      </c>
      <c r="J192" s="5" t="s">
        <v>0</v>
      </c>
      <c r="K192" s="5" t="s">
        <v>1</v>
      </c>
      <c r="L192" s="5" t="s">
        <v>2</v>
      </c>
      <c r="M192" s="5" t="s">
        <v>915</v>
      </c>
      <c r="N192" s="5" t="s">
        <v>370</v>
      </c>
      <c r="O192" s="5" t="s">
        <v>105</v>
      </c>
      <c r="P192" s="5" t="s">
        <v>9</v>
      </c>
      <c r="XFD192"/>
    </row>
    <row r="193" spans="1:16 16384:16384" s="5" customFormat="1">
      <c r="A193" s="5" t="str">
        <f t="shared" si="4"/>
        <v>RAS</v>
      </c>
      <c r="B193" s="5" t="str">
        <f t="shared" si="5"/>
        <v>RAS40843</v>
      </c>
      <c r="C193" s="5" t="str">
        <f>IF(ISNA(VLOOKUP(A193&amp;D193,VCEPReports,4,FALSE)),"",VLOOKUP(A193&amp;D193,VCEPReports,4,FALSE))</f>
        <v/>
      </c>
      <c r="D193" s="5">
        <v>40843</v>
      </c>
      <c r="E193" s="5" t="s">
        <v>65</v>
      </c>
      <c r="F193" s="6">
        <v>42864</v>
      </c>
      <c r="G193" s="5" t="s">
        <v>371</v>
      </c>
      <c r="H193" s="5" t="s">
        <v>109</v>
      </c>
      <c r="I193" s="5" t="s">
        <v>110</v>
      </c>
      <c r="J193" s="5" t="s">
        <v>0</v>
      </c>
      <c r="K193" s="5" t="s">
        <v>1</v>
      </c>
      <c r="L193" s="5" t="s">
        <v>2</v>
      </c>
      <c r="M193" s="5" t="s">
        <v>915</v>
      </c>
      <c r="N193" s="5" t="s">
        <v>372</v>
      </c>
      <c r="O193" s="5" t="s">
        <v>105</v>
      </c>
      <c r="P193" s="5" t="s">
        <v>9</v>
      </c>
      <c r="XFD193"/>
    </row>
    <row r="194" spans="1:16 16384:16384" s="5" customFormat="1">
      <c r="A194" s="5" t="str">
        <f t="shared" ref="A194:A257" si="6">VLOOKUP(M194,VCEPs,2,FALSE)</f>
        <v>RAS</v>
      </c>
      <c r="B194" s="5" t="str">
        <f t="shared" si="5"/>
        <v>RAS40846</v>
      </c>
      <c r="C194" s="5" t="str">
        <f>IF(ISNA(VLOOKUP(A194&amp;D194,VCEPReports,4,FALSE)),"",VLOOKUP(A194&amp;D194,VCEPReports,4,FALSE))</f>
        <v/>
      </c>
      <c r="D194" s="5">
        <v>40846</v>
      </c>
      <c r="E194" s="5" t="s">
        <v>65</v>
      </c>
      <c r="F194" s="6">
        <v>42864</v>
      </c>
      <c r="G194" s="5" t="s">
        <v>343</v>
      </c>
      <c r="H194" s="5" t="s">
        <v>109</v>
      </c>
      <c r="I194" s="5" t="s">
        <v>110</v>
      </c>
      <c r="J194" s="5" t="s">
        <v>0</v>
      </c>
      <c r="K194" s="5" t="s">
        <v>1</v>
      </c>
      <c r="L194" s="5" t="s">
        <v>2</v>
      </c>
      <c r="M194" s="5" t="s">
        <v>915</v>
      </c>
      <c r="N194" s="5" t="s">
        <v>373</v>
      </c>
      <c r="O194" s="5" t="s">
        <v>105</v>
      </c>
      <c r="P194" s="5" t="s">
        <v>9</v>
      </c>
      <c r="XFD194"/>
    </row>
    <row r="195" spans="1:16 16384:16384" s="5" customFormat="1">
      <c r="A195" s="5" t="str">
        <f t="shared" si="6"/>
        <v>RAS</v>
      </c>
      <c r="B195" s="5" t="str">
        <f t="shared" ref="B195:B258" si="7">CONCATENATE(A195,D195)</f>
        <v>RAS41447</v>
      </c>
      <c r="C195" s="5" t="str">
        <f>IF(ISNA(VLOOKUP(A195&amp;D195,VCEPReports,4,FALSE)),"",VLOOKUP(A195&amp;D195,VCEPReports,4,FALSE))</f>
        <v/>
      </c>
      <c r="D195" s="5">
        <v>41447</v>
      </c>
      <c r="E195" s="5" t="s">
        <v>65</v>
      </c>
      <c r="F195" s="6">
        <v>42843</v>
      </c>
      <c r="G195" s="5" t="s">
        <v>219</v>
      </c>
      <c r="H195" s="5" t="s">
        <v>109</v>
      </c>
      <c r="I195" s="5" t="s">
        <v>110</v>
      </c>
      <c r="J195" s="5" t="s">
        <v>0</v>
      </c>
      <c r="K195" s="5" t="s">
        <v>1</v>
      </c>
      <c r="L195" s="5" t="s">
        <v>2</v>
      </c>
      <c r="M195" s="5" t="s">
        <v>915</v>
      </c>
      <c r="N195" s="5" t="s">
        <v>374</v>
      </c>
      <c r="O195" s="5" t="s">
        <v>165</v>
      </c>
      <c r="P195" s="5" t="s">
        <v>9</v>
      </c>
      <c r="XFD195"/>
    </row>
    <row r="196" spans="1:16 16384:16384" s="5" customFormat="1">
      <c r="A196" s="5" t="str">
        <f t="shared" si="6"/>
        <v>RAS</v>
      </c>
      <c r="B196" s="5" t="str">
        <f t="shared" si="7"/>
        <v>RAS41449</v>
      </c>
      <c r="C196" s="5" t="str">
        <f>IF(ISNA(VLOOKUP(A196&amp;D196,VCEPReports,4,FALSE)),"",VLOOKUP(A196&amp;D196,VCEPReports,4,FALSE))</f>
        <v/>
      </c>
      <c r="D196" s="5">
        <v>41449</v>
      </c>
      <c r="E196" s="5" t="s">
        <v>65</v>
      </c>
      <c r="F196" s="6">
        <v>42828</v>
      </c>
      <c r="G196" s="5" t="s">
        <v>375</v>
      </c>
      <c r="H196" s="5" t="s">
        <v>109</v>
      </c>
      <c r="I196" s="5" t="s">
        <v>110</v>
      </c>
      <c r="J196" s="5" t="s">
        <v>0</v>
      </c>
      <c r="K196" s="5" t="s">
        <v>1</v>
      </c>
      <c r="L196" s="5" t="s">
        <v>2</v>
      </c>
      <c r="M196" s="5" t="s">
        <v>915</v>
      </c>
      <c r="N196" s="5" t="s">
        <v>376</v>
      </c>
      <c r="O196" s="5" t="s">
        <v>116</v>
      </c>
      <c r="P196" s="5" t="s">
        <v>9</v>
      </c>
      <c r="XFD196"/>
    </row>
    <row r="197" spans="1:16 16384:16384" s="5" customFormat="1">
      <c r="A197" s="5" t="str">
        <f t="shared" si="6"/>
        <v>PTEN</v>
      </c>
      <c r="B197" s="5" t="str">
        <f t="shared" si="7"/>
        <v>PTEN41682</v>
      </c>
      <c r="C197" s="5" t="str">
        <f>IF(ISNA(VLOOKUP(A197&amp;D197,VCEPReports,4,FALSE)),"",VLOOKUP(A197&amp;D197,VCEPReports,4,FALSE))</f>
        <v>0340272b-ab4c-4672-94b8-40e0525d8eda</v>
      </c>
      <c r="D197" s="5">
        <v>41682</v>
      </c>
      <c r="E197" s="5" t="s">
        <v>212</v>
      </c>
      <c r="F197" s="6">
        <v>43196</v>
      </c>
      <c r="G197" s="5" t="s">
        <v>377</v>
      </c>
      <c r="H197" s="5" t="s">
        <v>95</v>
      </c>
      <c r="I197" s="5" t="s">
        <v>96</v>
      </c>
      <c r="J197" s="5" t="s">
        <v>0</v>
      </c>
      <c r="K197" s="5" t="s">
        <v>1</v>
      </c>
      <c r="L197" s="5" t="s">
        <v>2</v>
      </c>
      <c r="M197" s="5" t="s">
        <v>917</v>
      </c>
      <c r="N197" s="5" t="s">
        <v>378</v>
      </c>
      <c r="O197" s="5" t="s">
        <v>98</v>
      </c>
      <c r="P197" s="5" t="s">
        <v>9</v>
      </c>
      <c r="XFD197"/>
    </row>
    <row r="198" spans="1:16 16384:16384" s="5" customFormat="1">
      <c r="A198" s="5" t="str">
        <f t="shared" si="6"/>
        <v>CARDIO</v>
      </c>
      <c r="B198" s="5" t="str">
        <f t="shared" si="7"/>
        <v>CARDIO42817</v>
      </c>
      <c r="C198" s="5" t="str">
        <f>IF(ISNA(VLOOKUP(A198&amp;D198,VCEPReports,4,FALSE)),"",VLOOKUP(A198&amp;D198,VCEPReports,4,FALSE))</f>
        <v/>
      </c>
      <c r="D198" s="5">
        <v>42817</v>
      </c>
      <c r="E198" s="5" t="s">
        <v>65</v>
      </c>
      <c r="F198" s="6">
        <v>42719</v>
      </c>
      <c r="G198" s="5" t="s">
        <v>222</v>
      </c>
      <c r="H198" s="5" t="s">
        <v>214</v>
      </c>
      <c r="I198" s="5" t="s">
        <v>215</v>
      </c>
      <c r="J198" s="5" t="s">
        <v>0</v>
      </c>
      <c r="K198" s="5" t="s">
        <v>1</v>
      </c>
      <c r="L198" s="5" t="s">
        <v>2</v>
      </c>
      <c r="M198" s="5" t="s">
        <v>933</v>
      </c>
      <c r="N198" s="5" t="s">
        <v>379</v>
      </c>
      <c r="O198" s="5" t="s">
        <v>174</v>
      </c>
      <c r="P198" s="5" t="s">
        <v>9</v>
      </c>
      <c r="XFD198"/>
    </row>
    <row r="199" spans="1:16 16384:16384" s="5" customFormat="1">
      <c r="A199" s="5" t="str">
        <f t="shared" si="6"/>
        <v>CARDIO</v>
      </c>
      <c r="B199" s="5" t="str">
        <f t="shared" si="7"/>
        <v>CARDIO42819</v>
      </c>
      <c r="C199" s="5" t="str">
        <f>IF(ISNA(VLOOKUP(A199&amp;D199,VCEPReports,4,FALSE)),"",VLOOKUP(A199&amp;D199,VCEPReports,4,FALSE))</f>
        <v/>
      </c>
      <c r="D199" s="5">
        <v>42819</v>
      </c>
      <c r="E199" s="5" t="s">
        <v>65</v>
      </c>
      <c r="F199" s="6">
        <v>42719</v>
      </c>
      <c r="G199" s="5" t="s">
        <v>222</v>
      </c>
      <c r="H199" s="5" t="s">
        <v>214</v>
      </c>
      <c r="I199" s="5" t="s">
        <v>215</v>
      </c>
      <c r="J199" s="5" t="s">
        <v>0</v>
      </c>
      <c r="K199" s="5" t="s">
        <v>1</v>
      </c>
      <c r="L199" s="5" t="s">
        <v>2</v>
      </c>
      <c r="M199" s="5" t="s">
        <v>933</v>
      </c>
      <c r="N199" s="5" t="s">
        <v>380</v>
      </c>
      <c r="O199" s="5" t="s">
        <v>174</v>
      </c>
      <c r="P199" s="5" t="s">
        <v>9</v>
      </c>
      <c r="XFD199"/>
    </row>
    <row r="200" spans="1:16 16384:16384" s="5" customFormat="1">
      <c r="A200" s="5" t="str">
        <f t="shared" si="6"/>
        <v>CARDIO</v>
      </c>
      <c r="B200" s="5" t="str">
        <f t="shared" si="7"/>
        <v>CARDIO42821</v>
      </c>
      <c r="C200" s="5" t="str">
        <f>IF(ISNA(VLOOKUP(A200&amp;D200,VCEPReports,4,FALSE)),"",VLOOKUP(A200&amp;D200,VCEPReports,4,FALSE))</f>
        <v/>
      </c>
      <c r="D200" s="5">
        <v>42821</v>
      </c>
      <c r="E200" s="5" t="s">
        <v>65</v>
      </c>
      <c r="F200" s="6">
        <v>42719</v>
      </c>
      <c r="G200" s="5" t="s">
        <v>222</v>
      </c>
      <c r="H200" s="5" t="s">
        <v>214</v>
      </c>
      <c r="I200" s="5" t="s">
        <v>215</v>
      </c>
      <c r="J200" s="5" t="s">
        <v>0</v>
      </c>
      <c r="K200" s="5" t="s">
        <v>1</v>
      </c>
      <c r="L200" s="5" t="s">
        <v>2</v>
      </c>
      <c r="M200" s="5" t="s">
        <v>933</v>
      </c>
      <c r="N200" s="5" t="s">
        <v>381</v>
      </c>
      <c r="O200" s="5" t="s">
        <v>174</v>
      </c>
      <c r="P200" s="5" t="s">
        <v>9</v>
      </c>
      <c r="XFD200"/>
    </row>
    <row r="201" spans="1:16 16384:16384" s="5" customFormat="1">
      <c r="A201" s="5" t="str">
        <f t="shared" si="6"/>
        <v>CARDIO</v>
      </c>
      <c r="B201" s="5" t="str">
        <f t="shared" si="7"/>
        <v>CARDIO42822</v>
      </c>
      <c r="C201" s="5" t="str">
        <f>IF(ISNA(VLOOKUP(A201&amp;D201,VCEPReports,4,FALSE)),"",VLOOKUP(A201&amp;D201,VCEPReports,4,FALSE))</f>
        <v/>
      </c>
      <c r="D201" s="5">
        <v>42822</v>
      </c>
      <c r="E201" s="5" t="s">
        <v>24</v>
      </c>
      <c r="F201" s="6">
        <v>42719</v>
      </c>
      <c r="G201" s="5" t="s">
        <v>382</v>
      </c>
      <c r="H201" s="5" t="s">
        <v>195</v>
      </c>
      <c r="I201" s="5" t="s">
        <v>196</v>
      </c>
      <c r="J201" s="5" t="s">
        <v>0</v>
      </c>
      <c r="K201" s="5" t="s">
        <v>1</v>
      </c>
      <c r="L201" s="5" t="s">
        <v>2</v>
      </c>
      <c r="M201" s="5" t="s">
        <v>933</v>
      </c>
      <c r="N201" s="5" t="s">
        <v>383</v>
      </c>
      <c r="O201" s="5" t="s">
        <v>174</v>
      </c>
      <c r="P201" s="5" t="s">
        <v>9</v>
      </c>
      <c r="XFD201"/>
    </row>
    <row r="202" spans="1:16 16384:16384" s="5" customFormat="1">
      <c r="A202" s="5" t="str">
        <f t="shared" si="6"/>
        <v>CARDIO</v>
      </c>
      <c r="B202" s="5" t="str">
        <f t="shared" si="7"/>
        <v>CARDIO42823</v>
      </c>
      <c r="C202" s="5" t="str">
        <f>IF(ISNA(VLOOKUP(A202&amp;D202,VCEPReports,4,FALSE)),"",VLOOKUP(A202&amp;D202,VCEPReports,4,FALSE))</f>
        <v/>
      </c>
      <c r="D202" s="5">
        <v>42823</v>
      </c>
      <c r="E202" s="5" t="s">
        <v>65</v>
      </c>
      <c r="F202" s="6">
        <v>42719</v>
      </c>
      <c r="G202" s="5" t="s">
        <v>222</v>
      </c>
      <c r="H202" s="5" t="s">
        <v>214</v>
      </c>
      <c r="I202" s="5" t="s">
        <v>215</v>
      </c>
      <c r="J202" s="5" t="s">
        <v>0</v>
      </c>
      <c r="K202" s="5" t="s">
        <v>1</v>
      </c>
      <c r="L202" s="5" t="s">
        <v>2</v>
      </c>
      <c r="M202" s="5" t="s">
        <v>933</v>
      </c>
      <c r="N202" s="5" t="s">
        <v>384</v>
      </c>
      <c r="O202" s="5" t="s">
        <v>174</v>
      </c>
      <c r="P202" s="5" t="s">
        <v>9</v>
      </c>
      <c r="XFD202"/>
    </row>
    <row r="203" spans="1:16 16384:16384" s="5" customFormat="1">
      <c r="A203" s="5" t="str">
        <f t="shared" si="6"/>
        <v>CARDIO</v>
      </c>
      <c r="B203" s="5" t="str">
        <f t="shared" si="7"/>
        <v>CARDIO42838</v>
      </c>
      <c r="C203" s="5" t="str">
        <f>IF(ISNA(VLOOKUP(A203&amp;D203,VCEPReports,4,FALSE)),"",VLOOKUP(A203&amp;D203,VCEPReports,4,FALSE))</f>
        <v/>
      </c>
      <c r="D203" s="5">
        <v>42838</v>
      </c>
      <c r="E203" s="5" t="s">
        <v>3</v>
      </c>
      <c r="F203" s="6">
        <v>42719</v>
      </c>
      <c r="G203" s="5" t="s">
        <v>385</v>
      </c>
      <c r="H203" s="5" t="s">
        <v>171</v>
      </c>
      <c r="I203" s="5" t="s">
        <v>172</v>
      </c>
      <c r="J203" s="5" t="s">
        <v>0</v>
      </c>
      <c r="K203" s="5" t="s">
        <v>1</v>
      </c>
      <c r="L203" s="5" t="s">
        <v>2</v>
      </c>
      <c r="M203" s="5" t="s">
        <v>933</v>
      </c>
      <c r="N203" s="5" t="s">
        <v>386</v>
      </c>
      <c r="O203" s="5" t="s">
        <v>174</v>
      </c>
      <c r="P203" s="5" t="s">
        <v>9</v>
      </c>
      <c r="XFD203"/>
    </row>
    <row r="204" spans="1:16 16384:16384" s="5" customFormat="1">
      <c r="A204" s="5" t="str">
        <f t="shared" si="6"/>
        <v>CARDIO</v>
      </c>
      <c r="B204" s="5" t="str">
        <f t="shared" si="7"/>
        <v>CARDIO42843</v>
      </c>
      <c r="C204" s="5" t="str">
        <f>IF(ISNA(VLOOKUP(A204&amp;D204,VCEPReports,4,FALSE)),"",VLOOKUP(A204&amp;D204,VCEPReports,4,FALSE))</f>
        <v/>
      </c>
      <c r="D204" s="5">
        <v>42843</v>
      </c>
      <c r="E204" s="5" t="s">
        <v>65</v>
      </c>
      <c r="F204" s="6">
        <v>42719</v>
      </c>
      <c r="G204" s="5" t="s">
        <v>222</v>
      </c>
      <c r="H204" s="5" t="s">
        <v>214</v>
      </c>
      <c r="I204" s="5" t="s">
        <v>215</v>
      </c>
      <c r="J204" s="5" t="s">
        <v>0</v>
      </c>
      <c r="K204" s="5" t="s">
        <v>1</v>
      </c>
      <c r="L204" s="5" t="s">
        <v>2</v>
      </c>
      <c r="M204" s="5" t="s">
        <v>933</v>
      </c>
      <c r="N204" s="5" t="s">
        <v>387</v>
      </c>
      <c r="O204" s="5" t="s">
        <v>174</v>
      </c>
      <c r="P204" s="5" t="s">
        <v>9</v>
      </c>
      <c r="XFD204"/>
    </row>
    <row r="205" spans="1:16 16384:16384" s="5" customFormat="1">
      <c r="A205" s="5" t="str">
        <f t="shared" si="6"/>
        <v>CARDIO</v>
      </c>
      <c r="B205" s="5" t="str">
        <f t="shared" si="7"/>
        <v>CARDIO42853</v>
      </c>
      <c r="C205" s="5" t="str">
        <f>IF(ISNA(VLOOKUP(A205&amp;D205,VCEPReports,4,FALSE)),"",VLOOKUP(A205&amp;D205,VCEPReports,4,FALSE))</f>
        <v/>
      </c>
      <c r="D205" s="5">
        <v>42853</v>
      </c>
      <c r="E205" s="5" t="s">
        <v>65</v>
      </c>
      <c r="F205" s="6">
        <v>42719</v>
      </c>
      <c r="G205" s="5" t="s">
        <v>222</v>
      </c>
      <c r="H205" s="5" t="s">
        <v>214</v>
      </c>
      <c r="I205" s="5" t="s">
        <v>215</v>
      </c>
      <c r="J205" s="5" t="s">
        <v>0</v>
      </c>
      <c r="K205" s="5" t="s">
        <v>1</v>
      </c>
      <c r="L205" s="5" t="s">
        <v>2</v>
      </c>
      <c r="M205" s="5" t="s">
        <v>933</v>
      </c>
      <c r="N205" s="5" t="s">
        <v>388</v>
      </c>
      <c r="O205" s="5" t="s">
        <v>174</v>
      </c>
      <c r="P205" s="5" t="s">
        <v>9</v>
      </c>
      <c r="XFD205"/>
    </row>
    <row r="206" spans="1:16 16384:16384" s="5" customFormat="1">
      <c r="A206" s="5" t="str">
        <f t="shared" si="6"/>
        <v>CARDIO</v>
      </c>
      <c r="B206" s="5" t="str">
        <f t="shared" si="7"/>
        <v>CARDIO42864</v>
      </c>
      <c r="C206" s="5" t="str">
        <f>IF(ISNA(VLOOKUP(A206&amp;D206,VCEPReports,4,FALSE)),"",VLOOKUP(A206&amp;D206,VCEPReports,4,FALSE))</f>
        <v/>
      </c>
      <c r="D206" s="5">
        <v>42864</v>
      </c>
      <c r="E206" s="5" t="s">
        <v>65</v>
      </c>
      <c r="F206" s="6">
        <v>42719</v>
      </c>
      <c r="G206" s="5" t="s">
        <v>222</v>
      </c>
      <c r="H206" s="5" t="s">
        <v>214</v>
      </c>
      <c r="I206" s="5" t="s">
        <v>215</v>
      </c>
      <c r="J206" s="5" t="s">
        <v>0</v>
      </c>
      <c r="K206" s="5" t="s">
        <v>1</v>
      </c>
      <c r="L206" s="5" t="s">
        <v>2</v>
      </c>
      <c r="M206" s="5" t="s">
        <v>933</v>
      </c>
      <c r="N206" s="5" t="s">
        <v>389</v>
      </c>
      <c r="O206" s="5" t="s">
        <v>174</v>
      </c>
      <c r="P206" s="5" t="s">
        <v>9</v>
      </c>
      <c r="XFD206"/>
    </row>
    <row r="207" spans="1:16 16384:16384" s="5" customFormat="1">
      <c r="A207" s="5" t="str">
        <f t="shared" si="6"/>
        <v>CARDIO</v>
      </c>
      <c r="B207" s="5" t="str">
        <f t="shared" si="7"/>
        <v>CARDIO42869</v>
      </c>
      <c r="C207" s="5" t="str">
        <f>IF(ISNA(VLOOKUP(A207&amp;D207,VCEPReports,4,FALSE)),"",VLOOKUP(A207&amp;D207,VCEPReports,4,FALSE))</f>
        <v/>
      </c>
      <c r="D207" s="5">
        <v>42869</v>
      </c>
      <c r="E207" s="5" t="s">
        <v>65</v>
      </c>
      <c r="F207" s="6">
        <v>42719</v>
      </c>
      <c r="G207" s="5" t="s">
        <v>222</v>
      </c>
      <c r="H207" s="5" t="s">
        <v>214</v>
      </c>
      <c r="I207" s="5" t="s">
        <v>215</v>
      </c>
      <c r="J207" s="5" t="s">
        <v>0</v>
      </c>
      <c r="K207" s="5" t="s">
        <v>1</v>
      </c>
      <c r="L207" s="5" t="s">
        <v>2</v>
      </c>
      <c r="M207" s="5" t="s">
        <v>933</v>
      </c>
      <c r="N207" s="5" t="s">
        <v>390</v>
      </c>
      <c r="O207" s="5" t="s">
        <v>174</v>
      </c>
      <c r="P207" s="5" t="s">
        <v>9</v>
      </c>
      <c r="XFD207"/>
    </row>
    <row r="208" spans="1:16 16384:16384" s="5" customFormat="1">
      <c r="A208" s="5" t="str">
        <f t="shared" si="6"/>
        <v>CARDIO</v>
      </c>
      <c r="B208" s="5" t="str">
        <f t="shared" si="7"/>
        <v>CARDIO42875</v>
      </c>
      <c r="C208" s="5" t="str">
        <f>IF(ISNA(VLOOKUP(A208&amp;D208,VCEPReports,4,FALSE)),"",VLOOKUP(A208&amp;D208,VCEPReports,4,FALSE))</f>
        <v/>
      </c>
      <c r="D208" s="5">
        <v>42875</v>
      </c>
      <c r="E208" s="5" t="s">
        <v>3</v>
      </c>
      <c r="F208" s="6">
        <v>42719</v>
      </c>
      <c r="G208" s="5" t="s">
        <v>198</v>
      </c>
      <c r="H208" s="5" t="s">
        <v>171</v>
      </c>
      <c r="I208" s="5" t="s">
        <v>172</v>
      </c>
      <c r="J208" s="5" t="s">
        <v>0</v>
      </c>
      <c r="K208" s="5" t="s">
        <v>1</v>
      </c>
      <c r="L208" s="5" t="s">
        <v>2</v>
      </c>
      <c r="M208" s="5" t="s">
        <v>933</v>
      </c>
      <c r="N208" s="5" t="s">
        <v>391</v>
      </c>
      <c r="O208" s="5" t="s">
        <v>174</v>
      </c>
      <c r="P208" s="5" t="s">
        <v>9</v>
      </c>
      <c r="XFD208"/>
    </row>
    <row r="209" spans="1:16 16384:16384" s="5" customFormat="1">
      <c r="A209" s="5" t="str">
        <f t="shared" si="6"/>
        <v>CARDIO</v>
      </c>
      <c r="B209" s="5" t="str">
        <f t="shared" si="7"/>
        <v>CARDIO42884</v>
      </c>
      <c r="C209" s="5" t="str">
        <f>IF(ISNA(VLOOKUP(A209&amp;D209,VCEPReports,4,FALSE)),"",VLOOKUP(A209&amp;D209,VCEPReports,4,FALSE))</f>
        <v/>
      </c>
      <c r="D209" s="5">
        <v>42884</v>
      </c>
      <c r="E209" s="5" t="s">
        <v>65</v>
      </c>
      <c r="F209" s="6">
        <v>42719</v>
      </c>
      <c r="G209" s="5" t="s">
        <v>392</v>
      </c>
      <c r="H209" s="5" t="s">
        <v>214</v>
      </c>
      <c r="I209" s="5" t="s">
        <v>215</v>
      </c>
      <c r="J209" s="5" t="s">
        <v>0</v>
      </c>
      <c r="K209" s="5" t="s">
        <v>1</v>
      </c>
      <c r="L209" s="5" t="s">
        <v>2</v>
      </c>
      <c r="M209" s="5" t="s">
        <v>933</v>
      </c>
      <c r="N209" s="5" t="s">
        <v>393</v>
      </c>
      <c r="O209" s="5" t="s">
        <v>174</v>
      </c>
      <c r="P209" s="5" t="s">
        <v>9</v>
      </c>
      <c r="XFD209"/>
    </row>
    <row r="210" spans="1:16 16384:16384" s="5" customFormat="1">
      <c r="A210" s="5" t="str">
        <f t="shared" si="6"/>
        <v>CARDIO</v>
      </c>
      <c r="B210" s="5" t="str">
        <f t="shared" si="7"/>
        <v>CARDIO42885</v>
      </c>
      <c r="C210" s="5" t="str">
        <f>IF(ISNA(VLOOKUP(A210&amp;D210,VCEPReports,4,FALSE)),"",VLOOKUP(A210&amp;D210,VCEPReports,4,FALSE))</f>
        <v/>
      </c>
      <c r="D210" s="5">
        <v>42885</v>
      </c>
      <c r="E210" s="5" t="s">
        <v>3</v>
      </c>
      <c r="F210" s="6">
        <v>42719</v>
      </c>
      <c r="G210" s="5" t="s">
        <v>187</v>
      </c>
      <c r="H210" s="5" t="s">
        <v>171</v>
      </c>
      <c r="I210" s="5" t="s">
        <v>172</v>
      </c>
      <c r="J210" s="5" t="s">
        <v>0</v>
      </c>
      <c r="K210" s="5" t="s">
        <v>1</v>
      </c>
      <c r="L210" s="5" t="s">
        <v>2</v>
      </c>
      <c r="M210" s="5" t="s">
        <v>933</v>
      </c>
      <c r="N210" s="5" t="s">
        <v>394</v>
      </c>
      <c r="O210" s="5" t="s">
        <v>174</v>
      </c>
      <c r="P210" s="5" t="s">
        <v>9</v>
      </c>
      <c r="XFD210"/>
    </row>
    <row r="211" spans="1:16 16384:16384" s="5" customFormat="1">
      <c r="A211" s="5" t="str">
        <f t="shared" si="6"/>
        <v>CARDIO</v>
      </c>
      <c r="B211" s="5" t="str">
        <f t="shared" si="7"/>
        <v>CARDIO42900</v>
      </c>
      <c r="C211" s="5" t="str">
        <f>IF(ISNA(VLOOKUP(A211&amp;D211,VCEPReports,4,FALSE)),"",VLOOKUP(A211&amp;D211,VCEPReports,4,FALSE))</f>
        <v/>
      </c>
      <c r="D211" s="5">
        <v>42900</v>
      </c>
      <c r="E211" s="5" t="s">
        <v>86</v>
      </c>
      <c r="F211" s="6">
        <v>42719</v>
      </c>
      <c r="G211" s="5" t="s">
        <v>395</v>
      </c>
      <c r="H211" s="5" t="s">
        <v>214</v>
      </c>
      <c r="I211" s="5" t="s">
        <v>215</v>
      </c>
      <c r="J211" s="5" t="s">
        <v>0</v>
      </c>
      <c r="K211" s="5" t="s">
        <v>1</v>
      </c>
      <c r="L211" s="5" t="s">
        <v>2</v>
      </c>
      <c r="M211" s="5" t="s">
        <v>933</v>
      </c>
      <c r="N211" s="5" t="s">
        <v>396</v>
      </c>
      <c r="O211" s="5" t="s">
        <v>174</v>
      </c>
      <c r="P211" s="5" t="s">
        <v>9</v>
      </c>
      <c r="XFD211"/>
    </row>
    <row r="212" spans="1:16 16384:16384" s="5" customFormat="1">
      <c r="A212" s="5" t="str">
        <f t="shared" si="6"/>
        <v>CARDIO</v>
      </c>
      <c r="B212" s="5" t="str">
        <f t="shared" si="7"/>
        <v>CARDIO42910</v>
      </c>
      <c r="C212" s="5" t="str">
        <f>IF(ISNA(VLOOKUP(A212&amp;D212,VCEPReports,4,FALSE)),"",VLOOKUP(A212&amp;D212,VCEPReports,4,FALSE))</f>
        <v/>
      </c>
      <c r="D212" s="5">
        <v>42910</v>
      </c>
      <c r="E212" s="5" t="s">
        <v>3</v>
      </c>
      <c r="F212" s="6">
        <v>42719</v>
      </c>
      <c r="G212" s="5" t="s">
        <v>397</v>
      </c>
      <c r="H212" s="5" t="s">
        <v>398</v>
      </c>
      <c r="I212" s="5" t="s">
        <v>399</v>
      </c>
      <c r="J212" s="5" t="s">
        <v>0</v>
      </c>
      <c r="K212" s="5" t="s">
        <v>1</v>
      </c>
      <c r="L212" s="5" t="s">
        <v>2</v>
      </c>
      <c r="M212" s="5" t="s">
        <v>933</v>
      </c>
      <c r="N212" s="5" t="s">
        <v>400</v>
      </c>
      <c r="O212" s="5" t="s">
        <v>174</v>
      </c>
      <c r="P212" s="5" t="s">
        <v>9</v>
      </c>
      <c r="XFD212"/>
    </row>
    <row r="213" spans="1:16 16384:16384" s="5" customFormat="1">
      <c r="A213" s="5" t="str">
        <f t="shared" si="6"/>
        <v>CARDIO</v>
      </c>
      <c r="B213" s="5" t="str">
        <f t="shared" si="7"/>
        <v>CARDIO42911</v>
      </c>
      <c r="C213" s="5" t="str">
        <f>IF(ISNA(VLOOKUP(A213&amp;D213,VCEPReports,4,FALSE)),"",VLOOKUP(A213&amp;D213,VCEPReports,4,FALSE))</f>
        <v/>
      </c>
      <c r="D213" s="5">
        <v>42911</v>
      </c>
      <c r="E213" s="5" t="s">
        <v>65</v>
      </c>
      <c r="F213" s="6">
        <v>42719</v>
      </c>
      <c r="G213" s="5" t="s">
        <v>222</v>
      </c>
      <c r="H213" s="5" t="s">
        <v>214</v>
      </c>
      <c r="I213" s="5" t="s">
        <v>215</v>
      </c>
      <c r="J213" s="5" t="s">
        <v>0</v>
      </c>
      <c r="K213" s="5" t="s">
        <v>1</v>
      </c>
      <c r="L213" s="5" t="s">
        <v>2</v>
      </c>
      <c r="M213" s="5" t="s">
        <v>933</v>
      </c>
      <c r="N213" s="5" t="s">
        <v>401</v>
      </c>
      <c r="O213" s="5" t="s">
        <v>174</v>
      </c>
      <c r="P213" s="5" t="s">
        <v>9</v>
      </c>
      <c r="XFD213"/>
    </row>
    <row r="214" spans="1:16 16384:16384" s="5" customFormat="1">
      <c r="A214" s="5" t="str">
        <f t="shared" si="6"/>
        <v>CARDIO</v>
      </c>
      <c r="B214" s="5" t="str">
        <f t="shared" si="7"/>
        <v>CARDIO42913</v>
      </c>
      <c r="C214" s="5" t="str">
        <f>IF(ISNA(VLOOKUP(A214&amp;D214,VCEPReports,4,FALSE)),"",VLOOKUP(A214&amp;D214,VCEPReports,4,FALSE))</f>
        <v/>
      </c>
      <c r="D214" s="5">
        <v>42913</v>
      </c>
      <c r="E214" s="5" t="s">
        <v>24</v>
      </c>
      <c r="F214" s="6">
        <v>42719</v>
      </c>
      <c r="G214" s="5" t="s">
        <v>402</v>
      </c>
      <c r="H214" s="5" t="s">
        <v>171</v>
      </c>
      <c r="I214" s="5" t="s">
        <v>172</v>
      </c>
      <c r="J214" s="5" t="s">
        <v>0</v>
      </c>
      <c r="K214" s="5" t="s">
        <v>1</v>
      </c>
      <c r="L214" s="5" t="s">
        <v>2</v>
      </c>
      <c r="M214" s="5" t="s">
        <v>933</v>
      </c>
      <c r="N214" s="5" t="s">
        <v>403</v>
      </c>
      <c r="O214" s="5" t="s">
        <v>174</v>
      </c>
      <c r="P214" s="5" t="s">
        <v>9</v>
      </c>
      <c r="XFD214"/>
    </row>
    <row r="215" spans="1:16 16384:16384" s="5" customFormat="1">
      <c r="A215" s="5" t="str">
        <f t="shared" si="6"/>
        <v>CARDIO</v>
      </c>
      <c r="B215" s="5" t="str">
        <f t="shared" si="7"/>
        <v>CARDIO42915</v>
      </c>
      <c r="C215" s="5" t="str">
        <f>IF(ISNA(VLOOKUP(A215&amp;D215,VCEPReports,4,FALSE)),"",VLOOKUP(A215&amp;D215,VCEPReports,4,FALSE))</f>
        <v/>
      </c>
      <c r="D215" s="5">
        <v>42915</v>
      </c>
      <c r="E215" s="5" t="s">
        <v>65</v>
      </c>
      <c r="F215" s="6">
        <v>42719</v>
      </c>
      <c r="G215" s="5" t="s">
        <v>222</v>
      </c>
      <c r="H215" s="5" t="s">
        <v>214</v>
      </c>
      <c r="I215" s="5" t="s">
        <v>215</v>
      </c>
      <c r="J215" s="5" t="s">
        <v>0</v>
      </c>
      <c r="K215" s="5" t="s">
        <v>1</v>
      </c>
      <c r="L215" s="5" t="s">
        <v>2</v>
      </c>
      <c r="M215" s="5" t="s">
        <v>933</v>
      </c>
      <c r="N215" s="5" t="s">
        <v>404</v>
      </c>
      <c r="O215" s="5" t="s">
        <v>174</v>
      </c>
      <c r="P215" s="5" t="s">
        <v>9</v>
      </c>
      <c r="XFD215"/>
    </row>
    <row r="216" spans="1:16 16384:16384" s="5" customFormat="1">
      <c r="A216" s="5" t="str">
        <f t="shared" si="6"/>
        <v>CARDIO</v>
      </c>
      <c r="B216" s="5" t="str">
        <f t="shared" si="7"/>
        <v>CARDIO42918</v>
      </c>
      <c r="C216" s="5" t="str">
        <f>IF(ISNA(VLOOKUP(A216&amp;D216,VCEPReports,4,FALSE)),"",VLOOKUP(A216&amp;D216,VCEPReports,4,FALSE))</f>
        <v/>
      </c>
      <c r="D216" s="5">
        <v>42918</v>
      </c>
      <c r="E216" s="5" t="s">
        <v>65</v>
      </c>
      <c r="F216" s="6">
        <v>42719</v>
      </c>
      <c r="G216" s="5" t="s">
        <v>222</v>
      </c>
      <c r="H216" s="5" t="s">
        <v>214</v>
      </c>
      <c r="I216" s="5" t="s">
        <v>215</v>
      </c>
      <c r="J216" s="5" t="s">
        <v>0</v>
      </c>
      <c r="K216" s="5" t="s">
        <v>1</v>
      </c>
      <c r="L216" s="5" t="s">
        <v>2</v>
      </c>
      <c r="M216" s="5" t="s">
        <v>933</v>
      </c>
      <c r="N216" s="5" t="s">
        <v>405</v>
      </c>
      <c r="O216" s="5" t="s">
        <v>174</v>
      </c>
      <c r="P216" s="5" t="s">
        <v>9</v>
      </c>
      <c r="XFD216"/>
    </row>
    <row r="217" spans="1:16 16384:16384" s="5" customFormat="1">
      <c r="A217" s="5" t="str">
        <f t="shared" si="6"/>
        <v>CARDIO</v>
      </c>
      <c r="B217" s="5" t="str">
        <f t="shared" si="7"/>
        <v>CARDIO42922</v>
      </c>
      <c r="C217" s="5" t="str">
        <f>IF(ISNA(VLOOKUP(A217&amp;D217,VCEPReports,4,FALSE)),"",VLOOKUP(A217&amp;D217,VCEPReports,4,FALSE))</f>
        <v/>
      </c>
      <c r="D217" s="5">
        <v>42922</v>
      </c>
      <c r="E217" s="5" t="s">
        <v>3</v>
      </c>
      <c r="F217" s="6">
        <v>42719</v>
      </c>
      <c r="G217" s="5" t="s">
        <v>179</v>
      </c>
      <c r="H217" s="5" t="s">
        <v>171</v>
      </c>
      <c r="I217" s="5" t="s">
        <v>172</v>
      </c>
      <c r="J217" s="5" t="s">
        <v>0</v>
      </c>
      <c r="K217" s="5" t="s">
        <v>1</v>
      </c>
      <c r="L217" s="5" t="s">
        <v>2</v>
      </c>
      <c r="M217" s="5" t="s">
        <v>933</v>
      </c>
      <c r="N217" s="5" t="s">
        <v>406</v>
      </c>
      <c r="O217" s="5" t="s">
        <v>174</v>
      </c>
      <c r="P217" s="5" t="s">
        <v>9</v>
      </c>
      <c r="XFD217"/>
    </row>
    <row r="218" spans="1:16 16384:16384" s="5" customFormat="1">
      <c r="A218" s="5" t="str">
        <f t="shared" si="6"/>
        <v>CARDIO</v>
      </c>
      <c r="B218" s="5" t="str">
        <f t="shared" si="7"/>
        <v>CARDIO42931</v>
      </c>
      <c r="C218" s="5" t="str">
        <f>IF(ISNA(VLOOKUP(A218&amp;D218,VCEPReports,4,FALSE)),"",VLOOKUP(A218&amp;D218,VCEPReports,4,FALSE))</f>
        <v/>
      </c>
      <c r="D218" s="5">
        <v>42931</v>
      </c>
      <c r="E218" s="5" t="s">
        <v>65</v>
      </c>
      <c r="F218" s="6">
        <v>42719</v>
      </c>
      <c r="G218" s="5" t="s">
        <v>222</v>
      </c>
      <c r="H218" s="5" t="s">
        <v>214</v>
      </c>
      <c r="I218" s="5" t="s">
        <v>215</v>
      </c>
      <c r="J218" s="5" t="s">
        <v>0</v>
      </c>
      <c r="K218" s="5" t="s">
        <v>1</v>
      </c>
      <c r="L218" s="5" t="s">
        <v>2</v>
      </c>
      <c r="M218" s="5" t="s">
        <v>933</v>
      </c>
      <c r="N218" s="5" t="s">
        <v>407</v>
      </c>
      <c r="O218" s="5" t="s">
        <v>174</v>
      </c>
      <c r="P218" s="5" t="s">
        <v>9</v>
      </c>
      <c r="XFD218"/>
    </row>
    <row r="219" spans="1:16 16384:16384" s="5" customFormat="1">
      <c r="A219" s="5" t="str">
        <f t="shared" si="6"/>
        <v>CARDIO</v>
      </c>
      <c r="B219" s="5" t="str">
        <f t="shared" si="7"/>
        <v>CARDIO42934</v>
      </c>
      <c r="C219" s="5" t="str">
        <f>IF(ISNA(VLOOKUP(A219&amp;D219,VCEPReports,4,FALSE)),"",VLOOKUP(A219&amp;D219,VCEPReports,4,FALSE))</f>
        <v/>
      </c>
      <c r="D219" s="5">
        <v>42934</v>
      </c>
      <c r="E219" s="5" t="s">
        <v>24</v>
      </c>
      <c r="F219" s="6">
        <v>42719</v>
      </c>
      <c r="G219" s="5" t="s">
        <v>408</v>
      </c>
      <c r="H219" s="5" t="s">
        <v>171</v>
      </c>
      <c r="I219" s="5" t="s">
        <v>172</v>
      </c>
      <c r="J219" s="5" t="s">
        <v>0</v>
      </c>
      <c r="K219" s="5" t="s">
        <v>1</v>
      </c>
      <c r="L219" s="5" t="s">
        <v>2</v>
      </c>
      <c r="M219" s="5" t="s">
        <v>933</v>
      </c>
      <c r="N219" s="5" t="s">
        <v>409</v>
      </c>
      <c r="O219" s="5" t="s">
        <v>174</v>
      </c>
      <c r="P219" s="5" t="s">
        <v>9</v>
      </c>
      <c r="XFD219"/>
    </row>
    <row r="220" spans="1:16 16384:16384" s="5" customFormat="1">
      <c r="A220" s="5" t="str">
        <f t="shared" si="6"/>
        <v>CARDIO</v>
      </c>
      <c r="B220" s="5" t="str">
        <f t="shared" si="7"/>
        <v>CARDIO42939</v>
      </c>
      <c r="C220" s="5" t="str">
        <f>IF(ISNA(VLOOKUP(A220&amp;D220,VCEPReports,4,FALSE)),"",VLOOKUP(A220&amp;D220,VCEPReports,4,FALSE))</f>
        <v/>
      </c>
      <c r="D220" s="5">
        <v>42939</v>
      </c>
      <c r="E220" s="5" t="s">
        <v>65</v>
      </c>
      <c r="F220" s="6">
        <v>42719</v>
      </c>
      <c r="G220" s="5" t="s">
        <v>222</v>
      </c>
      <c r="H220" s="5" t="s">
        <v>214</v>
      </c>
      <c r="I220" s="5" t="s">
        <v>215</v>
      </c>
      <c r="J220" s="5" t="s">
        <v>0</v>
      </c>
      <c r="K220" s="5" t="s">
        <v>1</v>
      </c>
      <c r="L220" s="5" t="s">
        <v>2</v>
      </c>
      <c r="M220" s="5" t="s">
        <v>933</v>
      </c>
      <c r="N220" s="5" t="s">
        <v>410</v>
      </c>
      <c r="O220" s="5" t="s">
        <v>174</v>
      </c>
      <c r="P220" s="5" t="s">
        <v>9</v>
      </c>
      <c r="XFD220"/>
    </row>
    <row r="221" spans="1:16 16384:16384" s="5" customFormat="1">
      <c r="A221" s="5" t="str">
        <f t="shared" si="6"/>
        <v>CARDIO</v>
      </c>
      <c r="B221" s="5" t="str">
        <f t="shared" si="7"/>
        <v>CARDIO42941</v>
      </c>
      <c r="C221" s="5" t="str">
        <f>IF(ISNA(VLOOKUP(A221&amp;D221,VCEPReports,4,FALSE)),"",VLOOKUP(A221&amp;D221,VCEPReports,4,FALSE))</f>
        <v/>
      </c>
      <c r="D221" s="5">
        <v>42941</v>
      </c>
      <c r="E221" s="5" t="s">
        <v>65</v>
      </c>
      <c r="F221" s="6">
        <v>42719</v>
      </c>
      <c r="G221" s="5" t="s">
        <v>222</v>
      </c>
      <c r="H221" s="5" t="s">
        <v>214</v>
      </c>
      <c r="I221" s="5" t="s">
        <v>215</v>
      </c>
      <c r="J221" s="5" t="s">
        <v>0</v>
      </c>
      <c r="K221" s="5" t="s">
        <v>1</v>
      </c>
      <c r="L221" s="5" t="s">
        <v>2</v>
      </c>
      <c r="M221" s="5" t="s">
        <v>933</v>
      </c>
      <c r="N221" s="5" t="s">
        <v>411</v>
      </c>
      <c r="O221" s="5" t="s">
        <v>174</v>
      </c>
      <c r="P221" s="5" t="s">
        <v>9</v>
      </c>
      <c r="XFD221"/>
    </row>
    <row r="222" spans="1:16 16384:16384" s="5" customFormat="1">
      <c r="A222" s="5" t="str">
        <f t="shared" si="6"/>
        <v>CARDIO</v>
      </c>
      <c r="B222" s="5" t="str">
        <f t="shared" si="7"/>
        <v>CARDIO42942</v>
      </c>
      <c r="C222" s="5" t="str">
        <f>IF(ISNA(VLOOKUP(A222&amp;D222,VCEPReports,4,FALSE)),"",VLOOKUP(A222&amp;D222,VCEPReports,4,FALSE))</f>
        <v/>
      </c>
      <c r="D222" s="5">
        <v>42942</v>
      </c>
      <c r="E222" s="5" t="s">
        <v>65</v>
      </c>
      <c r="F222" s="6">
        <v>42719</v>
      </c>
      <c r="G222" s="5" t="s">
        <v>222</v>
      </c>
      <c r="H222" s="5" t="s">
        <v>214</v>
      </c>
      <c r="I222" s="5" t="s">
        <v>215</v>
      </c>
      <c r="J222" s="5" t="s">
        <v>0</v>
      </c>
      <c r="K222" s="5" t="s">
        <v>1</v>
      </c>
      <c r="L222" s="5" t="s">
        <v>2</v>
      </c>
      <c r="M222" s="5" t="s">
        <v>933</v>
      </c>
      <c r="N222" s="5" t="s">
        <v>412</v>
      </c>
      <c r="O222" s="5" t="s">
        <v>174</v>
      </c>
      <c r="P222" s="5" t="s">
        <v>9</v>
      </c>
      <c r="XFD222"/>
    </row>
    <row r="223" spans="1:16 16384:16384" s="5" customFormat="1">
      <c r="A223" s="5" t="str">
        <f t="shared" si="6"/>
        <v>CARDIO</v>
      </c>
      <c r="B223" s="5" t="str">
        <f t="shared" si="7"/>
        <v>CARDIO42944</v>
      </c>
      <c r="C223" s="5" t="str">
        <f>IF(ISNA(VLOOKUP(A223&amp;D223,VCEPReports,4,FALSE)),"",VLOOKUP(A223&amp;D223,VCEPReports,4,FALSE))</f>
        <v/>
      </c>
      <c r="D223" s="5">
        <v>42944</v>
      </c>
      <c r="E223" s="5" t="s">
        <v>65</v>
      </c>
      <c r="F223" s="6">
        <v>42719</v>
      </c>
      <c r="G223" s="5" t="s">
        <v>222</v>
      </c>
      <c r="H223" s="5" t="s">
        <v>214</v>
      </c>
      <c r="I223" s="5" t="s">
        <v>215</v>
      </c>
      <c r="J223" s="5" t="s">
        <v>0</v>
      </c>
      <c r="K223" s="5" t="s">
        <v>1</v>
      </c>
      <c r="L223" s="5" t="s">
        <v>2</v>
      </c>
      <c r="M223" s="5" t="s">
        <v>933</v>
      </c>
      <c r="N223" s="5" t="s">
        <v>413</v>
      </c>
      <c r="O223" s="5" t="s">
        <v>174</v>
      </c>
      <c r="P223" s="5" t="s">
        <v>9</v>
      </c>
      <c r="XFD223"/>
    </row>
    <row r="224" spans="1:16 16384:16384" s="5" customFormat="1">
      <c r="A224" s="5" t="str">
        <f t="shared" si="6"/>
        <v>CARDIO</v>
      </c>
      <c r="B224" s="5" t="str">
        <f t="shared" si="7"/>
        <v>CARDIO42945</v>
      </c>
      <c r="C224" s="5" t="str">
        <f>IF(ISNA(VLOOKUP(A224&amp;D224,VCEPReports,4,FALSE)),"",VLOOKUP(A224&amp;D224,VCEPReports,4,FALSE))</f>
        <v/>
      </c>
      <c r="D224" s="5">
        <v>42945</v>
      </c>
      <c r="E224" s="5" t="s">
        <v>65</v>
      </c>
      <c r="F224" s="6">
        <v>42719</v>
      </c>
      <c r="G224" s="5" t="s">
        <v>414</v>
      </c>
      <c r="H224" s="5" t="s">
        <v>214</v>
      </c>
      <c r="I224" s="5" t="s">
        <v>215</v>
      </c>
      <c r="J224" s="5" t="s">
        <v>0</v>
      </c>
      <c r="K224" s="5" t="s">
        <v>1</v>
      </c>
      <c r="L224" s="5" t="s">
        <v>2</v>
      </c>
      <c r="M224" s="5" t="s">
        <v>933</v>
      </c>
      <c r="N224" s="5" t="s">
        <v>415</v>
      </c>
      <c r="O224" s="5" t="s">
        <v>174</v>
      </c>
      <c r="P224" s="5" t="s">
        <v>9</v>
      </c>
      <c r="XFD224"/>
    </row>
    <row r="225" spans="1:16 16384:16384" s="5" customFormat="1">
      <c r="A225" s="5" t="str">
        <f t="shared" si="6"/>
        <v>CARDIO</v>
      </c>
      <c r="B225" s="5" t="str">
        <f t="shared" si="7"/>
        <v>CARDIO42946</v>
      </c>
      <c r="C225" s="5" t="str">
        <f>IF(ISNA(VLOOKUP(A225&amp;D225,VCEPReports,4,FALSE)),"",VLOOKUP(A225&amp;D225,VCEPReports,4,FALSE))</f>
        <v/>
      </c>
      <c r="D225" s="5">
        <v>42946</v>
      </c>
      <c r="E225" s="5" t="s">
        <v>65</v>
      </c>
      <c r="F225" s="6">
        <v>42719</v>
      </c>
      <c r="G225" s="5" t="s">
        <v>222</v>
      </c>
      <c r="H225" s="5" t="s">
        <v>214</v>
      </c>
      <c r="I225" s="5" t="s">
        <v>215</v>
      </c>
      <c r="J225" s="5" t="s">
        <v>0</v>
      </c>
      <c r="K225" s="5" t="s">
        <v>1</v>
      </c>
      <c r="L225" s="5" t="s">
        <v>2</v>
      </c>
      <c r="M225" s="5" t="s">
        <v>933</v>
      </c>
      <c r="N225" s="5" t="s">
        <v>416</v>
      </c>
      <c r="O225" s="5" t="s">
        <v>174</v>
      </c>
      <c r="P225" s="5" t="s">
        <v>9</v>
      </c>
      <c r="XFD225"/>
    </row>
    <row r="226" spans="1:16 16384:16384" s="5" customFormat="1">
      <c r="A226" s="5" t="str">
        <f t="shared" si="6"/>
        <v>CARDIO</v>
      </c>
      <c r="B226" s="5" t="str">
        <f t="shared" si="7"/>
        <v>CARDIO42949</v>
      </c>
      <c r="C226" s="5" t="str">
        <f>IF(ISNA(VLOOKUP(A226&amp;D226,VCEPReports,4,FALSE)),"",VLOOKUP(A226&amp;D226,VCEPReports,4,FALSE))</f>
        <v/>
      </c>
      <c r="D226" s="5">
        <v>42949</v>
      </c>
      <c r="E226" s="5" t="s">
        <v>65</v>
      </c>
      <c r="F226" s="6">
        <v>42719</v>
      </c>
      <c r="G226" s="5" t="s">
        <v>222</v>
      </c>
      <c r="H226" s="5" t="s">
        <v>214</v>
      </c>
      <c r="I226" s="5" t="s">
        <v>215</v>
      </c>
      <c r="J226" s="5" t="s">
        <v>0</v>
      </c>
      <c r="K226" s="5" t="s">
        <v>1</v>
      </c>
      <c r="L226" s="5" t="s">
        <v>2</v>
      </c>
      <c r="M226" s="5" t="s">
        <v>933</v>
      </c>
      <c r="N226" s="5" t="s">
        <v>417</v>
      </c>
      <c r="O226" s="5" t="s">
        <v>174</v>
      </c>
      <c r="P226" s="5" t="s">
        <v>9</v>
      </c>
      <c r="XFD226"/>
    </row>
    <row r="227" spans="1:16 16384:16384" s="5" customFormat="1">
      <c r="A227" s="5" t="str">
        <f t="shared" si="6"/>
        <v>CARDIO</v>
      </c>
      <c r="B227" s="5" t="str">
        <f t="shared" si="7"/>
        <v>CARDIO42950</v>
      </c>
      <c r="C227" s="5" t="str">
        <f>IF(ISNA(VLOOKUP(A227&amp;D227,VCEPReports,4,FALSE)),"",VLOOKUP(A227&amp;D227,VCEPReports,4,FALSE))</f>
        <v/>
      </c>
      <c r="D227" s="5">
        <v>42950</v>
      </c>
      <c r="E227" s="5" t="s">
        <v>86</v>
      </c>
      <c r="F227" s="6">
        <v>42719</v>
      </c>
      <c r="G227" s="5" t="s">
        <v>418</v>
      </c>
      <c r="H227" s="5" t="s">
        <v>214</v>
      </c>
      <c r="I227" s="5" t="s">
        <v>215</v>
      </c>
      <c r="J227" s="5" t="s">
        <v>0</v>
      </c>
      <c r="K227" s="5" t="s">
        <v>1</v>
      </c>
      <c r="L227" s="5" t="s">
        <v>2</v>
      </c>
      <c r="M227" s="5" t="s">
        <v>933</v>
      </c>
      <c r="N227" s="5" t="s">
        <v>419</v>
      </c>
      <c r="O227" s="5" t="s">
        <v>174</v>
      </c>
      <c r="P227" s="5" t="s">
        <v>9</v>
      </c>
      <c r="XFD227"/>
    </row>
    <row r="228" spans="1:16 16384:16384" s="5" customFormat="1">
      <c r="A228" s="5" t="str">
        <f t="shared" si="6"/>
        <v>CARDIO</v>
      </c>
      <c r="B228" s="5" t="str">
        <f t="shared" si="7"/>
        <v>CARDIO42952</v>
      </c>
      <c r="C228" s="5" t="str">
        <f>IF(ISNA(VLOOKUP(A228&amp;D228,VCEPReports,4,FALSE)),"",VLOOKUP(A228&amp;D228,VCEPReports,4,FALSE))</f>
        <v/>
      </c>
      <c r="D228" s="5">
        <v>42952</v>
      </c>
      <c r="E228" s="5" t="s">
        <v>65</v>
      </c>
      <c r="F228" s="6">
        <v>42719</v>
      </c>
      <c r="G228" s="5" t="s">
        <v>414</v>
      </c>
      <c r="H228" s="5" t="s">
        <v>214</v>
      </c>
      <c r="I228" s="5" t="s">
        <v>215</v>
      </c>
      <c r="J228" s="5" t="s">
        <v>0</v>
      </c>
      <c r="K228" s="5" t="s">
        <v>1</v>
      </c>
      <c r="L228" s="5" t="s">
        <v>2</v>
      </c>
      <c r="M228" s="5" t="s">
        <v>933</v>
      </c>
      <c r="N228" s="5" t="s">
        <v>420</v>
      </c>
      <c r="O228" s="5" t="s">
        <v>174</v>
      </c>
      <c r="P228" s="5" t="s">
        <v>9</v>
      </c>
      <c r="XFD228"/>
    </row>
    <row r="229" spans="1:16 16384:16384" s="5" customFormat="1">
      <c r="A229" s="5" t="str">
        <f t="shared" si="6"/>
        <v>CARDIO</v>
      </c>
      <c r="B229" s="5" t="str">
        <f t="shared" si="7"/>
        <v>CARDIO42953</v>
      </c>
      <c r="C229" s="5" t="str">
        <f>IF(ISNA(VLOOKUP(A229&amp;D229,VCEPReports,4,FALSE)),"",VLOOKUP(A229&amp;D229,VCEPReports,4,FALSE))</f>
        <v/>
      </c>
      <c r="D229" s="5">
        <v>42953</v>
      </c>
      <c r="E229" s="5" t="s">
        <v>86</v>
      </c>
      <c r="F229" s="6">
        <v>42719</v>
      </c>
      <c r="G229" s="5" t="s">
        <v>421</v>
      </c>
      <c r="H229" s="5" t="s">
        <v>214</v>
      </c>
      <c r="I229" s="5" t="s">
        <v>215</v>
      </c>
      <c r="J229" s="5" t="s">
        <v>0</v>
      </c>
      <c r="K229" s="5" t="s">
        <v>1</v>
      </c>
      <c r="L229" s="5" t="s">
        <v>2</v>
      </c>
      <c r="M229" s="5" t="s">
        <v>933</v>
      </c>
      <c r="N229" s="5" t="s">
        <v>422</v>
      </c>
      <c r="O229" s="5" t="s">
        <v>174</v>
      </c>
      <c r="P229" s="5" t="s">
        <v>9</v>
      </c>
      <c r="XFD229"/>
    </row>
    <row r="230" spans="1:16 16384:16384" s="5" customFormat="1">
      <c r="A230" s="5" t="str">
        <f t="shared" si="6"/>
        <v>CARDIO</v>
      </c>
      <c r="B230" s="5" t="str">
        <f t="shared" si="7"/>
        <v>CARDIO42956</v>
      </c>
      <c r="C230" s="5" t="str">
        <f>IF(ISNA(VLOOKUP(A230&amp;D230,VCEPReports,4,FALSE)),"",VLOOKUP(A230&amp;D230,VCEPReports,4,FALSE))</f>
        <v/>
      </c>
      <c r="D230" s="5">
        <v>42956</v>
      </c>
      <c r="E230" s="5" t="s">
        <v>65</v>
      </c>
      <c r="F230" s="6">
        <v>42719</v>
      </c>
      <c r="G230" s="5" t="s">
        <v>222</v>
      </c>
      <c r="H230" s="5" t="s">
        <v>214</v>
      </c>
      <c r="I230" s="5" t="s">
        <v>215</v>
      </c>
      <c r="J230" s="5" t="s">
        <v>0</v>
      </c>
      <c r="K230" s="5" t="s">
        <v>1</v>
      </c>
      <c r="L230" s="5" t="s">
        <v>2</v>
      </c>
      <c r="M230" s="5" t="s">
        <v>933</v>
      </c>
      <c r="N230" s="5" t="s">
        <v>423</v>
      </c>
      <c r="O230" s="5" t="s">
        <v>174</v>
      </c>
      <c r="P230" s="5" t="s">
        <v>9</v>
      </c>
      <c r="XFD230"/>
    </row>
    <row r="231" spans="1:16 16384:16384" s="5" customFormat="1">
      <c r="A231" s="5" t="str">
        <f t="shared" si="6"/>
        <v>CARDIO</v>
      </c>
      <c r="B231" s="5" t="str">
        <f t="shared" si="7"/>
        <v>CARDIO42957</v>
      </c>
      <c r="C231" s="5" t="str">
        <f>IF(ISNA(VLOOKUP(A231&amp;D231,VCEPReports,4,FALSE)),"",VLOOKUP(A231&amp;D231,VCEPReports,4,FALSE))</f>
        <v/>
      </c>
      <c r="D231" s="5">
        <v>42957</v>
      </c>
      <c r="E231" s="5" t="s">
        <v>65</v>
      </c>
      <c r="F231" s="6">
        <v>42719</v>
      </c>
      <c r="G231" s="5" t="s">
        <v>222</v>
      </c>
      <c r="H231" s="5" t="s">
        <v>214</v>
      </c>
      <c r="I231" s="5" t="s">
        <v>215</v>
      </c>
      <c r="J231" s="5" t="s">
        <v>0</v>
      </c>
      <c r="K231" s="5" t="s">
        <v>1</v>
      </c>
      <c r="L231" s="5" t="s">
        <v>2</v>
      </c>
      <c r="M231" s="5" t="s">
        <v>933</v>
      </c>
      <c r="N231" s="5" t="s">
        <v>424</v>
      </c>
      <c r="O231" s="5" t="s">
        <v>174</v>
      </c>
      <c r="P231" s="5" t="s">
        <v>9</v>
      </c>
      <c r="XFD231"/>
    </row>
    <row r="232" spans="1:16 16384:16384" s="5" customFormat="1">
      <c r="A232" s="5" t="str">
        <f t="shared" si="6"/>
        <v>CARDIO</v>
      </c>
      <c r="B232" s="5" t="str">
        <f t="shared" si="7"/>
        <v>CARDIO42959</v>
      </c>
      <c r="C232" s="5" t="str">
        <f>IF(ISNA(VLOOKUP(A232&amp;D232,VCEPReports,4,FALSE)),"",VLOOKUP(A232&amp;D232,VCEPReports,4,FALSE))</f>
        <v/>
      </c>
      <c r="D232" s="5">
        <v>42959</v>
      </c>
      <c r="E232" s="5" t="s">
        <v>86</v>
      </c>
      <c r="F232" s="6">
        <v>42719</v>
      </c>
      <c r="G232" s="5" t="s">
        <v>425</v>
      </c>
      <c r="H232" s="5" t="s">
        <v>214</v>
      </c>
      <c r="I232" s="5" t="s">
        <v>215</v>
      </c>
      <c r="J232" s="5" t="s">
        <v>0</v>
      </c>
      <c r="K232" s="5" t="s">
        <v>1</v>
      </c>
      <c r="L232" s="5" t="s">
        <v>2</v>
      </c>
      <c r="M232" s="5" t="s">
        <v>933</v>
      </c>
      <c r="N232" s="5" t="s">
        <v>426</v>
      </c>
      <c r="O232" s="5" t="s">
        <v>174</v>
      </c>
      <c r="P232" s="5" t="s">
        <v>9</v>
      </c>
      <c r="XFD232"/>
    </row>
    <row r="233" spans="1:16 16384:16384" s="5" customFormat="1">
      <c r="A233" s="5" t="str">
        <f t="shared" si="6"/>
        <v>CARDIO</v>
      </c>
      <c r="B233" s="5" t="str">
        <f t="shared" si="7"/>
        <v>CARDIO42965</v>
      </c>
      <c r="C233" s="5" t="str">
        <f>IF(ISNA(VLOOKUP(A233&amp;D233,VCEPReports,4,FALSE)),"",VLOOKUP(A233&amp;D233,VCEPReports,4,FALSE))</f>
        <v/>
      </c>
      <c r="D233" s="5">
        <v>42965</v>
      </c>
      <c r="E233" s="5" t="s">
        <v>86</v>
      </c>
      <c r="F233" s="6">
        <v>42719</v>
      </c>
      <c r="G233" s="5" t="s">
        <v>421</v>
      </c>
      <c r="H233" s="5" t="s">
        <v>214</v>
      </c>
      <c r="I233" s="5" t="s">
        <v>215</v>
      </c>
      <c r="J233" s="5" t="s">
        <v>0</v>
      </c>
      <c r="K233" s="5" t="s">
        <v>1</v>
      </c>
      <c r="L233" s="5" t="s">
        <v>2</v>
      </c>
      <c r="M233" s="5" t="s">
        <v>933</v>
      </c>
      <c r="N233" s="5" t="s">
        <v>427</v>
      </c>
      <c r="O233" s="5" t="s">
        <v>174</v>
      </c>
      <c r="P233" s="5" t="s">
        <v>9</v>
      </c>
      <c r="XFD233"/>
    </row>
    <row r="234" spans="1:16 16384:16384" s="5" customFormat="1">
      <c r="A234" s="5" t="str">
        <f t="shared" si="6"/>
        <v>CARDIO</v>
      </c>
      <c r="B234" s="5" t="str">
        <f t="shared" si="7"/>
        <v>CARDIO42968</v>
      </c>
      <c r="C234" s="5" t="str">
        <f>IF(ISNA(VLOOKUP(A234&amp;D234,VCEPReports,4,FALSE)),"",VLOOKUP(A234&amp;D234,VCEPReports,4,FALSE))</f>
        <v/>
      </c>
      <c r="D234" s="5">
        <v>42968</v>
      </c>
      <c r="E234" s="5" t="s">
        <v>24</v>
      </c>
      <c r="F234" s="6">
        <v>42719</v>
      </c>
      <c r="G234" s="5" t="s">
        <v>428</v>
      </c>
      <c r="H234" s="5" t="s">
        <v>429</v>
      </c>
      <c r="I234" s="5" t="s">
        <v>430</v>
      </c>
      <c r="J234" s="5" t="s">
        <v>0</v>
      </c>
      <c r="K234" s="5" t="s">
        <v>1</v>
      </c>
      <c r="L234" s="5" t="s">
        <v>2</v>
      </c>
      <c r="M234" s="5" t="s">
        <v>933</v>
      </c>
      <c r="N234" s="5" t="s">
        <v>431</v>
      </c>
      <c r="O234" s="5" t="s">
        <v>174</v>
      </c>
      <c r="P234" s="5" t="s">
        <v>9</v>
      </c>
      <c r="XFD234"/>
    </row>
    <row r="235" spans="1:16 16384:16384" s="5" customFormat="1">
      <c r="A235" s="5" t="str">
        <f t="shared" si="6"/>
        <v>CARDIO</v>
      </c>
      <c r="B235" s="5" t="str">
        <f t="shared" si="7"/>
        <v>CARDIO42974</v>
      </c>
      <c r="C235" s="5" t="str">
        <f>IF(ISNA(VLOOKUP(A235&amp;D235,VCEPReports,4,FALSE)),"",VLOOKUP(A235&amp;D235,VCEPReports,4,FALSE))</f>
        <v/>
      </c>
      <c r="D235" s="5">
        <v>42974</v>
      </c>
      <c r="E235" s="5" t="s">
        <v>65</v>
      </c>
      <c r="F235" s="6">
        <v>42719</v>
      </c>
      <c r="G235" s="5" t="s">
        <v>222</v>
      </c>
      <c r="H235" s="5" t="s">
        <v>214</v>
      </c>
      <c r="I235" s="5" t="s">
        <v>215</v>
      </c>
      <c r="J235" s="5" t="s">
        <v>0</v>
      </c>
      <c r="K235" s="5" t="s">
        <v>1</v>
      </c>
      <c r="L235" s="5" t="s">
        <v>2</v>
      </c>
      <c r="M235" s="5" t="s">
        <v>933</v>
      </c>
      <c r="N235" s="5" t="s">
        <v>432</v>
      </c>
      <c r="O235" s="5" t="s">
        <v>174</v>
      </c>
      <c r="P235" s="5" t="s">
        <v>9</v>
      </c>
      <c r="XFD235"/>
    </row>
    <row r="236" spans="1:16 16384:16384" s="5" customFormat="1">
      <c r="A236" s="5" t="str">
        <f t="shared" si="6"/>
        <v>CARDIO</v>
      </c>
      <c r="B236" s="5" t="str">
        <f t="shared" si="7"/>
        <v>CARDIO42977</v>
      </c>
      <c r="C236" s="5" t="str">
        <f>IF(ISNA(VLOOKUP(A236&amp;D236,VCEPReports,4,FALSE)),"",VLOOKUP(A236&amp;D236,VCEPReports,4,FALSE))</f>
        <v/>
      </c>
      <c r="D236" s="5">
        <v>42977</v>
      </c>
      <c r="E236" s="5" t="s">
        <v>65</v>
      </c>
      <c r="F236" s="6">
        <v>42719</v>
      </c>
      <c r="G236" s="5" t="s">
        <v>222</v>
      </c>
      <c r="H236" s="5" t="s">
        <v>214</v>
      </c>
      <c r="I236" s="5" t="s">
        <v>215</v>
      </c>
      <c r="J236" s="5" t="s">
        <v>0</v>
      </c>
      <c r="K236" s="5" t="s">
        <v>1</v>
      </c>
      <c r="L236" s="5" t="s">
        <v>2</v>
      </c>
      <c r="M236" s="5" t="s">
        <v>933</v>
      </c>
      <c r="N236" s="5" t="s">
        <v>433</v>
      </c>
      <c r="O236" s="5" t="s">
        <v>174</v>
      </c>
      <c r="P236" s="5" t="s">
        <v>9</v>
      </c>
      <c r="XFD236"/>
    </row>
    <row r="237" spans="1:16 16384:16384" s="5" customFormat="1">
      <c r="A237" s="5" t="str">
        <f t="shared" si="6"/>
        <v>CARDIO</v>
      </c>
      <c r="B237" s="5" t="str">
        <f t="shared" si="7"/>
        <v>CARDIO42979</v>
      </c>
      <c r="C237" s="5" t="str">
        <f>IF(ISNA(VLOOKUP(A237&amp;D237,VCEPReports,4,FALSE)),"",VLOOKUP(A237&amp;D237,VCEPReports,4,FALSE))</f>
        <v/>
      </c>
      <c r="D237" s="5">
        <v>42979</v>
      </c>
      <c r="E237" s="5" t="s">
        <v>65</v>
      </c>
      <c r="F237" s="6">
        <v>42719</v>
      </c>
      <c r="G237" s="5" t="s">
        <v>222</v>
      </c>
      <c r="H237" s="5" t="s">
        <v>214</v>
      </c>
      <c r="I237" s="5" t="s">
        <v>215</v>
      </c>
      <c r="J237" s="5" t="s">
        <v>0</v>
      </c>
      <c r="K237" s="5" t="s">
        <v>1</v>
      </c>
      <c r="L237" s="5" t="s">
        <v>2</v>
      </c>
      <c r="M237" s="5" t="s">
        <v>933</v>
      </c>
      <c r="N237" s="5" t="s">
        <v>434</v>
      </c>
      <c r="O237" s="5" t="s">
        <v>174</v>
      </c>
      <c r="P237" s="5" t="s">
        <v>9</v>
      </c>
      <c r="XFD237"/>
    </row>
    <row r="238" spans="1:16 16384:16384" s="5" customFormat="1">
      <c r="A238" s="5" t="str">
        <f t="shared" si="6"/>
        <v>CARDIO</v>
      </c>
      <c r="B238" s="5" t="str">
        <f t="shared" si="7"/>
        <v>CARDIO42980</v>
      </c>
      <c r="C238" s="5" t="str">
        <f>IF(ISNA(VLOOKUP(A238&amp;D238,VCEPReports,4,FALSE)),"",VLOOKUP(A238&amp;D238,VCEPReports,4,FALSE))</f>
        <v/>
      </c>
      <c r="D238" s="5">
        <v>42980</v>
      </c>
      <c r="E238" s="5" t="s">
        <v>65</v>
      </c>
      <c r="F238" s="6">
        <v>42719</v>
      </c>
      <c r="G238" s="5" t="s">
        <v>222</v>
      </c>
      <c r="H238" s="5" t="s">
        <v>214</v>
      </c>
      <c r="I238" s="5" t="s">
        <v>215</v>
      </c>
      <c r="J238" s="5" t="s">
        <v>0</v>
      </c>
      <c r="K238" s="5" t="s">
        <v>1</v>
      </c>
      <c r="L238" s="5" t="s">
        <v>2</v>
      </c>
      <c r="M238" s="5" t="s">
        <v>933</v>
      </c>
      <c r="N238" s="5" t="s">
        <v>435</v>
      </c>
      <c r="O238" s="5" t="s">
        <v>174</v>
      </c>
      <c r="P238" s="5" t="s">
        <v>9</v>
      </c>
      <c r="XFD238"/>
    </row>
    <row r="239" spans="1:16 16384:16384" s="5" customFormat="1">
      <c r="A239" s="5" t="str">
        <f t="shared" si="6"/>
        <v>CARDIO</v>
      </c>
      <c r="B239" s="5" t="str">
        <f t="shared" si="7"/>
        <v>CARDIO42988</v>
      </c>
      <c r="C239" s="5" t="str">
        <f>IF(ISNA(VLOOKUP(A239&amp;D239,VCEPReports,4,FALSE)),"",VLOOKUP(A239&amp;D239,VCEPReports,4,FALSE))</f>
        <v/>
      </c>
      <c r="D239" s="5">
        <v>42988</v>
      </c>
      <c r="E239" s="5" t="s">
        <v>65</v>
      </c>
      <c r="F239" s="6">
        <v>42719</v>
      </c>
      <c r="G239" s="5" t="s">
        <v>222</v>
      </c>
      <c r="H239" s="5" t="s">
        <v>214</v>
      </c>
      <c r="I239" s="5" t="s">
        <v>215</v>
      </c>
      <c r="J239" s="5" t="s">
        <v>0</v>
      </c>
      <c r="K239" s="5" t="s">
        <v>1</v>
      </c>
      <c r="L239" s="5" t="s">
        <v>2</v>
      </c>
      <c r="M239" s="5" t="s">
        <v>933</v>
      </c>
      <c r="N239" s="5" t="s">
        <v>436</v>
      </c>
      <c r="O239" s="5" t="s">
        <v>174</v>
      </c>
      <c r="P239" s="5" t="s">
        <v>9</v>
      </c>
      <c r="XFD239"/>
    </row>
    <row r="240" spans="1:16 16384:16384" s="5" customFormat="1">
      <c r="A240" s="5" t="str">
        <f t="shared" si="6"/>
        <v>CARDIO</v>
      </c>
      <c r="B240" s="5" t="str">
        <f t="shared" si="7"/>
        <v>CARDIO42992</v>
      </c>
      <c r="C240" s="5" t="str">
        <f>IF(ISNA(VLOOKUP(A240&amp;D240,VCEPReports,4,FALSE)),"",VLOOKUP(A240&amp;D240,VCEPReports,4,FALSE))</f>
        <v/>
      </c>
      <c r="D240" s="5">
        <v>42992</v>
      </c>
      <c r="E240" s="5" t="s">
        <v>24</v>
      </c>
      <c r="F240" s="6">
        <v>42719</v>
      </c>
      <c r="G240" s="5" t="s">
        <v>437</v>
      </c>
      <c r="H240" s="5" t="s">
        <v>171</v>
      </c>
      <c r="I240" s="5" t="s">
        <v>172</v>
      </c>
      <c r="J240" s="5" t="s">
        <v>0</v>
      </c>
      <c r="K240" s="5" t="s">
        <v>1</v>
      </c>
      <c r="L240" s="5" t="s">
        <v>2</v>
      </c>
      <c r="M240" s="5" t="s">
        <v>933</v>
      </c>
      <c r="N240" s="5" t="s">
        <v>438</v>
      </c>
      <c r="O240" s="5" t="s">
        <v>174</v>
      </c>
      <c r="P240" s="5" t="s">
        <v>9</v>
      </c>
      <c r="XFD240"/>
    </row>
    <row r="241" spans="1:16 16384:16384" s="5" customFormat="1">
      <c r="A241" s="5" t="str">
        <f t="shared" si="6"/>
        <v>CARDIO</v>
      </c>
      <c r="B241" s="5" t="str">
        <f t="shared" si="7"/>
        <v>CARDIO43003</v>
      </c>
      <c r="C241" s="5" t="str">
        <f>IF(ISNA(VLOOKUP(A241&amp;D241,VCEPReports,4,FALSE)),"",VLOOKUP(A241&amp;D241,VCEPReports,4,FALSE))</f>
        <v/>
      </c>
      <c r="D241" s="5">
        <v>43003</v>
      </c>
      <c r="E241" s="5" t="s">
        <v>24</v>
      </c>
      <c r="F241" s="6">
        <v>42719</v>
      </c>
      <c r="G241" s="5" t="s">
        <v>418</v>
      </c>
      <c r="H241" s="5" t="s">
        <v>171</v>
      </c>
      <c r="I241" s="5" t="s">
        <v>172</v>
      </c>
      <c r="J241" s="5" t="s">
        <v>0</v>
      </c>
      <c r="K241" s="5" t="s">
        <v>1</v>
      </c>
      <c r="L241" s="5" t="s">
        <v>2</v>
      </c>
      <c r="M241" s="5" t="s">
        <v>933</v>
      </c>
      <c r="N241" s="5" t="s">
        <v>439</v>
      </c>
      <c r="O241" s="5" t="s">
        <v>174</v>
      </c>
      <c r="P241" s="5" t="s">
        <v>9</v>
      </c>
      <c r="XFD241"/>
    </row>
    <row r="242" spans="1:16 16384:16384" s="5" customFormat="1">
      <c r="A242" s="5" t="str">
        <f t="shared" si="6"/>
        <v>CARDIO</v>
      </c>
      <c r="B242" s="5" t="str">
        <f t="shared" si="7"/>
        <v>CARDIO43005</v>
      </c>
      <c r="C242" s="5" t="str">
        <f>IF(ISNA(VLOOKUP(A242&amp;D242,VCEPReports,4,FALSE)),"",VLOOKUP(A242&amp;D242,VCEPReports,4,FALSE))</f>
        <v/>
      </c>
      <c r="D242" s="5">
        <v>43005</v>
      </c>
      <c r="E242" s="5" t="s">
        <v>86</v>
      </c>
      <c r="F242" s="6">
        <v>42719</v>
      </c>
      <c r="G242" s="5" t="s">
        <v>440</v>
      </c>
      <c r="H242" s="5" t="s">
        <v>214</v>
      </c>
      <c r="I242" s="5" t="s">
        <v>215</v>
      </c>
      <c r="J242" s="5" t="s">
        <v>0</v>
      </c>
      <c r="K242" s="5" t="s">
        <v>1</v>
      </c>
      <c r="L242" s="5" t="s">
        <v>2</v>
      </c>
      <c r="M242" s="5" t="s">
        <v>933</v>
      </c>
      <c r="N242" s="5" t="s">
        <v>441</v>
      </c>
      <c r="O242" s="5" t="s">
        <v>174</v>
      </c>
      <c r="P242" s="5" t="s">
        <v>9</v>
      </c>
      <c r="XFD242"/>
    </row>
    <row r="243" spans="1:16 16384:16384" s="5" customFormat="1">
      <c r="A243" s="5" t="str">
        <f t="shared" si="6"/>
        <v>CARDIO</v>
      </c>
      <c r="B243" s="5" t="str">
        <f t="shared" si="7"/>
        <v>CARDIO43006</v>
      </c>
      <c r="C243" s="5" t="str">
        <f>IF(ISNA(VLOOKUP(A243&amp;D243,VCEPReports,4,FALSE)),"",VLOOKUP(A243&amp;D243,VCEPReports,4,FALSE))</f>
        <v/>
      </c>
      <c r="D243" s="5">
        <v>43006</v>
      </c>
      <c r="E243" s="5" t="s">
        <v>24</v>
      </c>
      <c r="F243" s="6">
        <v>42719</v>
      </c>
      <c r="G243" s="5" t="s">
        <v>442</v>
      </c>
      <c r="H243" s="5" t="s">
        <v>171</v>
      </c>
      <c r="I243" s="5" t="s">
        <v>172</v>
      </c>
      <c r="J243" s="5" t="s">
        <v>0</v>
      </c>
      <c r="K243" s="5" t="s">
        <v>1</v>
      </c>
      <c r="L243" s="5" t="s">
        <v>2</v>
      </c>
      <c r="M243" s="5" t="s">
        <v>933</v>
      </c>
      <c r="N243" s="5" t="s">
        <v>443</v>
      </c>
      <c r="O243" s="5" t="s">
        <v>174</v>
      </c>
      <c r="P243" s="5" t="s">
        <v>9</v>
      </c>
      <c r="XFD243"/>
    </row>
    <row r="244" spans="1:16 16384:16384" s="5" customFormat="1">
      <c r="A244" s="5" t="str">
        <f t="shared" si="6"/>
        <v>CARDIO</v>
      </c>
      <c r="B244" s="5" t="str">
        <f t="shared" si="7"/>
        <v>CARDIO43011</v>
      </c>
      <c r="C244" s="5" t="str">
        <f>IF(ISNA(VLOOKUP(A244&amp;D244,VCEPReports,4,FALSE)),"",VLOOKUP(A244&amp;D244,VCEPReports,4,FALSE))</f>
        <v/>
      </c>
      <c r="D244" s="5">
        <v>43011</v>
      </c>
      <c r="E244" s="5" t="s">
        <v>86</v>
      </c>
      <c r="F244" s="6">
        <v>42719</v>
      </c>
      <c r="G244" s="5" t="s">
        <v>444</v>
      </c>
      <c r="H244" s="5" t="s">
        <v>214</v>
      </c>
      <c r="I244" s="5" t="s">
        <v>215</v>
      </c>
      <c r="J244" s="5" t="s">
        <v>0</v>
      </c>
      <c r="K244" s="5" t="s">
        <v>1</v>
      </c>
      <c r="L244" s="5" t="s">
        <v>2</v>
      </c>
      <c r="M244" s="5" t="s">
        <v>933</v>
      </c>
      <c r="N244" s="5" t="s">
        <v>445</v>
      </c>
      <c r="O244" s="5" t="s">
        <v>174</v>
      </c>
      <c r="P244" s="5" t="s">
        <v>9</v>
      </c>
      <c r="XFD244"/>
    </row>
    <row r="245" spans="1:16 16384:16384" s="5" customFormat="1">
      <c r="A245" s="5" t="str">
        <f t="shared" si="6"/>
        <v>CARDIO</v>
      </c>
      <c r="B245" s="5" t="str">
        <f t="shared" si="7"/>
        <v>CARDIO43012</v>
      </c>
      <c r="C245" s="5" t="str">
        <f>IF(ISNA(VLOOKUP(A245&amp;D245,VCEPReports,4,FALSE)),"",VLOOKUP(A245&amp;D245,VCEPReports,4,FALSE))</f>
        <v/>
      </c>
      <c r="D245" s="5">
        <v>43012</v>
      </c>
      <c r="E245" s="5" t="s">
        <v>212</v>
      </c>
      <c r="F245" s="6">
        <v>42719</v>
      </c>
      <c r="G245" s="5" t="s">
        <v>446</v>
      </c>
      <c r="H245" s="5" t="s">
        <v>214</v>
      </c>
      <c r="I245" s="5" t="s">
        <v>215</v>
      </c>
      <c r="J245" s="5" t="s">
        <v>0</v>
      </c>
      <c r="K245" s="5" t="s">
        <v>1</v>
      </c>
      <c r="L245" s="5" t="s">
        <v>2</v>
      </c>
      <c r="M245" s="5" t="s">
        <v>933</v>
      </c>
      <c r="N245" s="5" t="s">
        <v>447</v>
      </c>
      <c r="O245" s="5" t="s">
        <v>174</v>
      </c>
      <c r="P245" s="5" t="s">
        <v>9</v>
      </c>
      <c r="XFD245"/>
    </row>
    <row r="246" spans="1:16 16384:16384" s="5" customFormat="1">
      <c r="A246" s="5" t="str">
        <f t="shared" si="6"/>
        <v>CARDIO</v>
      </c>
      <c r="B246" s="5" t="str">
        <f t="shared" si="7"/>
        <v>CARDIO43019</v>
      </c>
      <c r="C246" s="5" t="str">
        <f>IF(ISNA(VLOOKUP(A246&amp;D246,VCEPReports,4,FALSE)),"",VLOOKUP(A246&amp;D246,VCEPReports,4,FALSE))</f>
        <v/>
      </c>
      <c r="D246" s="5">
        <v>43019</v>
      </c>
      <c r="E246" s="5" t="s">
        <v>65</v>
      </c>
      <c r="F246" s="6">
        <v>42719</v>
      </c>
      <c r="G246" s="5" t="s">
        <v>222</v>
      </c>
      <c r="H246" s="5" t="s">
        <v>214</v>
      </c>
      <c r="I246" s="5" t="s">
        <v>215</v>
      </c>
      <c r="J246" s="5" t="s">
        <v>0</v>
      </c>
      <c r="K246" s="5" t="s">
        <v>1</v>
      </c>
      <c r="L246" s="5" t="s">
        <v>2</v>
      </c>
      <c r="M246" s="5" t="s">
        <v>933</v>
      </c>
      <c r="N246" s="5" t="s">
        <v>448</v>
      </c>
      <c r="O246" s="5" t="s">
        <v>174</v>
      </c>
      <c r="P246" s="5" t="s">
        <v>9</v>
      </c>
      <c r="XFD246"/>
    </row>
    <row r="247" spans="1:16 16384:16384" s="5" customFormat="1">
      <c r="A247" s="5" t="str">
        <f t="shared" si="6"/>
        <v>CARDIO</v>
      </c>
      <c r="B247" s="5" t="str">
        <f t="shared" si="7"/>
        <v>CARDIO43020</v>
      </c>
      <c r="C247" s="5" t="str">
        <f>IF(ISNA(VLOOKUP(A247&amp;D247,VCEPReports,4,FALSE)),"",VLOOKUP(A247&amp;D247,VCEPReports,4,FALSE))</f>
        <v/>
      </c>
      <c r="D247" s="5">
        <v>43020</v>
      </c>
      <c r="E247" s="5" t="s">
        <v>65</v>
      </c>
      <c r="F247" s="6">
        <v>42719</v>
      </c>
      <c r="G247" s="5" t="s">
        <v>222</v>
      </c>
      <c r="H247" s="5" t="s">
        <v>214</v>
      </c>
      <c r="I247" s="5" t="s">
        <v>215</v>
      </c>
      <c r="J247" s="5" t="s">
        <v>0</v>
      </c>
      <c r="K247" s="5" t="s">
        <v>1</v>
      </c>
      <c r="L247" s="5" t="s">
        <v>2</v>
      </c>
      <c r="M247" s="5" t="s">
        <v>933</v>
      </c>
      <c r="N247" s="5" t="s">
        <v>449</v>
      </c>
      <c r="O247" s="5" t="s">
        <v>174</v>
      </c>
      <c r="P247" s="5" t="s">
        <v>9</v>
      </c>
      <c r="XFD247"/>
    </row>
    <row r="248" spans="1:16 16384:16384" s="5" customFormat="1">
      <c r="A248" s="5" t="str">
        <f t="shared" si="6"/>
        <v>CARDIO</v>
      </c>
      <c r="B248" s="5" t="str">
        <f t="shared" si="7"/>
        <v>CARDIO43027</v>
      </c>
      <c r="C248" s="5" t="str">
        <f>IF(ISNA(VLOOKUP(A248&amp;D248,VCEPReports,4,FALSE)),"",VLOOKUP(A248&amp;D248,VCEPReports,4,FALSE))</f>
        <v/>
      </c>
      <c r="D248" s="5">
        <v>43027</v>
      </c>
      <c r="E248" s="5" t="s">
        <v>65</v>
      </c>
      <c r="F248" s="6">
        <v>42719</v>
      </c>
      <c r="G248" s="5" t="s">
        <v>222</v>
      </c>
      <c r="H248" s="5" t="s">
        <v>214</v>
      </c>
      <c r="I248" s="5" t="s">
        <v>215</v>
      </c>
      <c r="J248" s="5" t="s">
        <v>0</v>
      </c>
      <c r="K248" s="5" t="s">
        <v>1</v>
      </c>
      <c r="L248" s="5" t="s">
        <v>2</v>
      </c>
      <c r="M248" s="5" t="s">
        <v>933</v>
      </c>
      <c r="N248" s="5" t="s">
        <v>450</v>
      </c>
      <c r="O248" s="5" t="s">
        <v>174</v>
      </c>
      <c r="P248" s="5" t="s">
        <v>9</v>
      </c>
      <c r="XFD248"/>
    </row>
    <row r="249" spans="1:16 16384:16384" s="5" customFormat="1">
      <c r="A249" s="5" t="str">
        <f t="shared" si="6"/>
        <v>CARDIO</v>
      </c>
      <c r="B249" s="5" t="str">
        <f t="shared" si="7"/>
        <v>CARDIO43029</v>
      </c>
      <c r="C249" s="5" t="str">
        <f>IF(ISNA(VLOOKUP(A249&amp;D249,VCEPReports,4,FALSE)),"",VLOOKUP(A249&amp;D249,VCEPReports,4,FALSE))</f>
        <v/>
      </c>
      <c r="D249" s="5">
        <v>43029</v>
      </c>
      <c r="E249" s="5" t="s">
        <v>86</v>
      </c>
      <c r="F249" s="6">
        <v>42719</v>
      </c>
      <c r="G249" s="5" t="s">
        <v>451</v>
      </c>
      <c r="H249" s="5" t="s">
        <v>214</v>
      </c>
      <c r="I249" s="5" t="s">
        <v>215</v>
      </c>
      <c r="J249" s="5" t="s">
        <v>0</v>
      </c>
      <c r="K249" s="5" t="s">
        <v>1</v>
      </c>
      <c r="L249" s="5" t="s">
        <v>2</v>
      </c>
      <c r="M249" s="5" t="s">
        <v>933</v>
      </c>
      <c r="N249" s="5" t="s">
        <v>452</v>
      </c>
      <c r="O249" s="5" t="s">
        <v>174</v>
      </c>
      <c r="P249" s="5" t="s">
        <v>9</v>
      </c>
      <c r="XFD249"/>
    </row>
    <row r="250" spans="1:16 16384:16384" s="5" customFormat="1">
      <c r="A250" s="5" t="str">
        <f t="shared" si="6"/>
        <v>CARDIO</v>
      </c>
      <c r="B250" s="5" t="str">
        <f t="shared" si="7"/>
        <v>CARDIO43031</v>
      </c>
      <c r="C250" s="5" t="str">
        <f>IF(ISNA(VLOOKUP(A250&amp;D250,VCEPReports,4,FALSE)),"",VLOOKUP(A250&amp;D250,VCEPReports,4,FALSE))</f>
        <v/>
      </c>
      <c r="D250" s="5">
        <v>43031</v>
      </c>
      <c r="E250" s="5" t="s">
        <v>65</v>
      </c>
      <c r="F250" s="6">
        <v>42719</v>
      </c>
      <c r="G250" s="5" t="s">
        <v>222</v>
      </c>
      <c r="H250" s="5" t="s">
        <v>214</v>
      </c>
      <c r="I250" s="5" t="s">
        <v>215</v>
      </c>
      <c r="J250" s="5" t="s">
        <v>0</v>
      </c>
      <c r="K250" s="5" t="s">
        <v>1</v>
      </c>
      <c r="L250" s="5" t="s">
        <v>2</v>
      </c>
      <c r="M250" s="5" t="s">
        <v>933</v>
      </c>
      <c r="N250" s="5" t="s">
        <v>453</v>
      </c>
      <c r="O250" s="5" t="s">
        <v>174</v>
      </c>
      <c r="P250" s="5" t="s">
        <v>9</v>
      </c>
      <c r="XFD250"/>
    </row>
    <row r="251" spans="1:16 16384:16384" s="5" customFormat="1">
      <c r="A251" s="5" t="str">
        <f t="shared" si="6"/>
        <v>CARDIO</v>
      </c>
      <c r="B251" s="5" t="str">
        <f t="shared" si="7"/>
        <v>CARDIO43032</v>
      </c>
      <c r="C251" s="5" t="str">
        <f>IF(ISNA(VLOOKUP(A251&amp;D251,VCEPReports,4,FALSE)),"",VLOOKUP(A251&amp;D251,VCEPReports,4,FALSE))</f>
        <v/>
      </c>
      <c r="D251" s="5">
        <v>43032</v>
      </c>
      <c r="E251" s="5" t="s">
        <v>65</v>
      </c>
      <c r="F251" s="6">
        <v>42719</v>
      </c>
      <c r="G251" s="5" t="s">
        <v>222</v>
      </c>
      <c r="H251" s="5" t="s">
        <v>214</v>
      </c>
      <c r="I251" s="5" t="s">
        <v>215</v>
      </c>
      <c r="J251" s="5" t="s">
        <v>0</v>
      </c>
      <c r="K251" s="5" t="s">
        <v>1</v>
      </c>
      <c r="L251" s="5" t="s">
        <v>2</v>
      </c>
      <c r="M251" s="5" t="s">
        <v>933</v>
      </c>
      <c r="N251" s="5" t="s">
        <v>454</v>
      </c>
      <c r="O251" s="5" t="s">
        <v>174</v>
      </c>
      <c r="P251" s="5" t="s">
        <v>9</v>
      </c>
      <c r="XFD251"/>
    </row>
    <row r="252" spans="1:16 16384:16384" s="5" customFormat="1">
      <c r="A252" s="5" t="str">
        <f t="shared" si="6"/>
        <v>CARDIO</v>
      </c>
      <c r="B252" s="5" t="str">
        <f t="shared" si="7"/>
        <v>CARDIO43035</v>
      </c>
      <c r="C252" s="5" t="str">
        <f>IF(ISNA(VLOOKUP(A252&amp;D252,VCEPReports,4,FALSE)),"",VLOOKUP(A252&amp;D252,VCEPReports,4,FALSE))</f>
        <v/>
      </c>
      <c r="D252" s="5">
        <v>43035</v>
      </c>
      <c r="E252" s="5" t="s">
        <v>65</v>
      </c>
      <c r="F252" s="6">
        <v>42719</v>
      </c>
      <c r="G252" s="5" t="s">
        <v>222</v>
      </c>
      <c r="H252" s="5" t="s">
        <v>214</v>
      </c>
      <c r="I252" s="5" t="s">
        <v>215</v>
      </c>
      <c r="J252" s="5" t="s">
        <v>0</v>
      </c>
      <c r="K252" s="5" t="s">
        <v>1</v>
      </c>
      <c r="L252" s="5" t="s">
        <v>2</v>
      </c>
      <c r="M252" s="5" t="s">
        <v>933</v>
      </c>
      <c r="N252" s="5" t="s">
        <v>455</v>
      </c>
      <c r="O252" s="5" t="s">
        <v>174</v>
      </c>
      <c r="P252" s="5" t="s">
        <v>9</v>
      </c>
      <c r="XFD252"/>
    </row>
    <row r="253" spans="1:16 16384:16384" s="5" customFormat="1">
      <c r="A253" s="5" t="str">
        <f t="shared" si="6"/>
        <v>CARDIO</v>
      </c>
      <c r="B253" s="5" t="str">
        <f t="shared" si="7"/>
        <v>CARDIO43038</v>
      </c>
      <c r="C253" s="5" t="str">
        <f>IF(ISNA(VLOOKUP(A253&amp;D253,VCEPReports,4,FALSE)),"",VLOOKUP(A253&amp;D253,VCEPReports,4,FALSE))</f>
        <v/>
      </c>
      <c r="D253" s="5">
        <v>43038</v>
      </c>
      <c r="E253" s="5" t="s">
        <v>65</v>
      </c>
      <c r="F253" s="6">
        <v>42719</v>
      </c>
      <c r="G253" s="5" t="s">
        <v>222</v>
      </c>
      <c r="H253" s="5" t="s">
        <v>214</v>
      </c>
      <c r="I253" s="5" t="s">
        <v>215</v>
      </c>
      <c r="J253" s="5" t="s">
        <v>0</v>
      </c>
      <c r="K253" s="5" t="s">
        <v>1</v>
      </c>
      <c r="L253" s="5" t="s">
        <v>2</v>
      </c>
      <c r="M253" s="5" t="s">
        <v>933</v>
      </c>
      <c r="N253" s="5" t="s">
        <v>456</v>
      </c>
      <c r="O253" s="5" t="s">
        <v>174</v>
      </c>
      <c r="P253" s="5" t="s">
        <v>9</v>
      </c>
      <c r="XFD253"/>
    </row>
    <row r="254" spans="1:16 16384:16384" s="5" customFormat="1">
      <c r="A254" s="5" t="str">
        <f t="shared" si="6"/>
        <v>CARDIO</v>
      </c>
      <c r="B254" s="5" t="str">
        <f t="shared" si="7"/>
        <v>CARDIO43044</v>
      </c>
      <c r="C254" s="5" t="str">
        <f>IF(ISNA(VLOOKUP(A254&amp;D254,VCEPReports,4,FALSE)),"",VLOOKUP(A254&amp;D254,VCEPReports,4,FALSE))</f>
        <v/>
      </c>
      <c r="D254" s="5">
        <v>43044</v>
      </c>
      <c r="E254" s="5" t="s">
        <v>86</v>
      </c>
      <c r="F254" s="6">
        <v>42719</v>
      </c>
      <c r="G254" s="5" t="s">
        <v>425</v>
      </c>
      <c r="H254" s="5" t="s">
        <v>214</v>
      </c>
      <c r="I254" s="5" t="s">
        <v>215</v>
      </c>
      <c r="J254" s="5" t="s">
        <v>0</v>
      </c>
      <c r="K254" s="5" t="s">
        <v>1</v>
      </c>
      <c r="L254" s="5" t="s">
        <v>2</v>
      </c>
      <c r="M254" s="5" t="s">
        <v>933</v>
      </c>
      <c r="N254" s="5" t="s">
        <v>457</v>
      </c>
      <c r="O254" s="5" t="s">
        <v>174</v>
      </c>
      <c r="P254" s="5" t="s">
        <v>9</v>
      </c>
      <c r="XFD254"/>
    </row>
    <row r="255" spans="1:16 16384:16384" s="5" customFormat="1">
      <c r="A255" s="5" t="str">
        <f t="shared" si="6"/>
        <v>CARDIO</v>
      </c>
      <c r="B255" s="5" t="str">
        <f t="shared" si="7"/>
        <v>CARDIO43048</v>
      </c>
      <c r="C255" s="5" t="str">
        <f>IF(ISNA(VLOOKUP(A255&amp;D255,VCEPReports,4,FALSE)),"",VLOOKUP(A255&amp;D255,VCEPReports,4,FALSE))</f>
        <v/>
      </c>
      <c r="D255" s="5">
        <v>43048</v>
      </c>
      <c r="E255" s="5" t="s">
        <v>65</v>
      </c>
      <c r="F255" s="6">
        <v>42719</v>
      </c>
      <c r="G255" s="5" t="s">
        <v>222</v>
      </c>
      <c r="H255" s="5" t="s">
        <v>214</v>
      </c>
      <c r="I255" s="5" t="s">
        <v>215</v>
      </c>
      <c r="J255" s="5" t="s">
        <v>0</v>
      </c>
      <c r="K255" s="5" t="s">
        <v>1</v>
      </c>
      <c r="L255" s="5" t="s">
        <v>2</v>
      </c>
      <c r="M255" s="5" t="s">
        <v>933</v>
      </c>
      <c r="N255" s="5" t="s">
        <v>458</v>
      </c>
      <c r="O255" s="5" t="s">
        <v>174</v>
      </c>
      <c r="P255" s="5" t="s">
        <v>9</v>
      </c>
      <c r="XFD255"/>
    </row>
    <row r="256" spans="1:16 16384:16384" s="5" customFormat="1">
      <c r="A256" s="5" t="str">
        <f t="shared" si="6"/>
        <v>CARDIO</v>
      </c>
      <c r="B256" s="5" t="str">
        <f t="shared" si="7"/>
        <v>CARDIO43056</v>
      </c>
      <c r="C256" s="5" t="str">
        <f>IF(ISNA(VLOOKUP(A256&amp;D256,VCEPReports,4,FALSE)),"",VLOOKUP(A256&amp;D256,VCEPReports,4,FALSE))</f>
        <v/>
      </c>
      <c r="D256" s="5">
        <v>43056</v>
      </c>
      <c r="E256" s="5" t="s">
        <v>65</v>
      </c>
      <c r="F256" s="6">
        <v>42719</v>
      </c>
      <c r="G256" s="5" t="s">
        <v>222</v>
      </c>
      <c r="H256" s="5" t="s">
        <v>214</v>
      </c>
      <c r="I256" s="5" t="s">
        <v>215</v>
      </c>
      <c r="J256" s="5" t="s">
        <v>0</v>
      </c>
      <c r="K256" s="5" t="s">
        <v>1</v>
      </c>
      <c r="L256" s="5" t="s">
        <v>2</v>
      </c>
      <c r="M256" s="5" t="s">
        <v>933</v>
      </c>
      <c r="N256" s="5" t="s">
        <v>459</v>
      </c>
      <c r="O256" s="5" t="s">
        <v>174</v>
      </c>
      <c r="P256" s="5" t="s">
        <v>9</v>
      </c>
      <c r="XFD256"/>
    </row>
    <row r="257" spans="1:16 16384:16384" s="5" customFormat="1">
      <c r="A257" s="5" t="str">
        <f t="shared" si="6"/>
        <v>CARDIO</v>
      </c>
      <c r="B257" s="5" t="str">
        <f t="shared" si="7"/>
        <v>CARDIO43059</v>
      </c>
      <c r="C257" s="5" t="str">
        <f>IF(ISNA(VLOOKUP(A257&amp;D257,VCEPReports,4,FALSE)),"",VLOOKUP(A257&amp;D257,VCEPReports,4,FALSE))</f>
        <v/>
      </c>
      <c r="D257" s="5">
        <v>43059</v>
      </c>
      <c r="E257" s="5" t="s">
        <v>86</v>
      </c>
      <c r="F257" s="6">
        <v>42719</v>
      </c>
      <c r="G257" s="5" t="s">
        <v>440</v>
      </c>
      <c r="H257" s="5" t="s">
        <v>214</v>
      </c>
      <c r="I257" s="5" t="s">
        <v>215</v>
      </c>
      <c r="J257" s="5" t="s">
        <v>0</v>
      </c>
      <c r="K257" s="5" t="s">
        <v>1</v>
      </c>
      <c r="L257" s="5" t="s">
        <v>2</v>
      </c>
      <c r="M257" s="5" t="s">
        <v>933</v>
      </c>
      <c r="N257" s="5" t="s">
        <v>460</v>
      </c>
      <c r="O257" s="5" t="s">
        <v>174</v>
      </c>
      <c r="P257" s="5" t="s">
        <v>9</v>
      </c>
      <c r="XFD257"/>
    </row>
    <row r="258" spans="1:16 16384:16384" s="5" customFormat="1">
      <c r="A258" s="5" t="str">
        <f t="shared" ref="A258:A321" si="8">VLOOKUP(M258,VCEPs,2,FALSE)</f>
        <v>CARDIO</v>
      </c>
      <c r="B258" s="5" t="str">
        <f t="shared" si="7"/>
        <v>CARDIO43069</v>
      </c>
      <c r="C258" s="5" t="str">
        <f>IF(ISNA(VLOOKUP(A258&amp;D258,VCEPReports,4,FALSE)),"",VLOOKUP(A258&amp;D258,VCEPReports,4,FALSE))</f>
        <v/>
      </c>
      <c r="D258" s="5">
        <v>43069</v>
      </c>
      <c r="E258" s="5" t="s">
        <v>24</v>
      </c>
      <c r="F258" s="6">
        <v>42719</v>
      </c>
      <c r="G258" s="5" t="s">
        <v>461</v>
      </c>
      <c r="H258" s="5" t="s">
        <v>195</v>
      </c>
      <c r="I258" s="5" t="s">
        <v>196</v>
      </c>
      <c r="J258" s="5" t="s">
        <v>0</v>
      </c>
      <c r="K258" s="5" t="s">
        <v>1</v>
      </c>
      <c r="L258" s="5" t="s">
        <v>2</v>
      </c>
      <c r="M258" s="5" t="s">
        <v>933</v>
      </c>
      <c r="N258" s="5" t="s">
        <v>462</v>
      </c>
      <c r="O258" s="5" t="s">
        <v>174</v>
      </c>
      <c r="P258" s="5" t="s">
        <v>9</v>
      </c>
      <c r="XFD258"/>
    </row>
    <row r="259" spans="1:16 16384:16384" s="5" customFormat="1">
      <c r="A259" s="5" t="str">
        <f t="shared" si="8"/>
        <v>CARDIO</v>
      </c>
      <c r="B259" s="5" t="str">
        <f t="shared" ref="B259:B322" si="9">CONCATENATE(A259,D259)</f>
        <v>CARDIO43076</v>
      </c>
      <c r="C259" s="5" t="str">
        <f>IF(ISNA(VLOOKUP(A259&amp;D259,VCEPReports,4,FALSE)),"",VLOOKUP(A259&amp;D259,VCEPReports,4,FALSE))</f>
        <v/>
      </c>
      <c r="D259" s="5">
        <v>43076</v>
      </c>
      <c r="E259" s="5" t="s">
        <v>86</v>
      </c>
      <c r="F259" s="6">
        <v>42719</v>
      </c>
      <c r="G259" s="5" t="s">
        <v>440</v>
      </c>
      <c r="H259" s="5" t="s">
        <v>214</v>
      </c>
      <c r="I259" s="5" t="s">
        <v>215</v>
      </c>
      <c r="J259" s="5" t="s">
        <v>0</v>
      </c>
      <c r="K259" s="5" t="s">
        <v>1</v>
      </c>
      <c r="L259" s="5" t="s">
        <v>2</v>
      </c>
      <c r="M259" s="5" t="s">
        <v>933</v>
      </c>
      <c r="N259" s="5" t="s">
        <v>463</v>
      </c>
      <c r="O259" s="5" t="s">
        <v>174</v>
      </c>
      <c r="P259" s="5" t="s">
        <v>9</v>
      </c>
      <c r="XFD259"/>
    </row>
    <row r="260" spans="1:16 16384:16384" s="5" customFormat="1">
      <c r="A260" s="5" t="str">
        <f t="shared" si="8"/>
        <v>CARDIO</v>
      </c>
      <c r="B260" s="5" t="str">
        <f t="shared" si="9"/>
        <v>CARDIO43082</v>
      </c>
      <c r="C260" s="5" t="str">
        <f>IF(ISNA(VLOOKUP(A260&amp;D260,VCEPReports,4,FALSE)),"",VLOOKUP(A260&amp;D260,VCEPReports,4,FALSE))</f>
        <v/>
      </c>
      <c r="D260" s="5">
        <v>43082</v>
      </c>
      <c r="E260" s="5" t="s">
        <v>86</v>
      </c>
      <c r="F260" s="6">
        <v>42719</v>
      </c>
      <c r="G260" s="5" t="s">
        <v>425</v>
      </c>
      <c r="H260" s="5" t="s">
        <v>214</v>
      </c>
      <c r="I260" s="5" t="s">
        <v>215</v>
      </c>
      <c r="J260" s="5" t="s">
        <v>0</v>
      </c>
      <c r="K260" s="5" t="s">
        <v>1</v>
      </c>
      <c r="L260" s="5" t="s">
        <v>2</v>
      </c>
      <c r="M260" s="5" t="s">
        <v>933</v>
      </c>
      <c r="N260" s="5" t="s">
        <v>464</v>
      </c>
      <c r="O260" s="5" t="s">
        <v>174</v>
      </c>
      <c r="P260" s="5" t="s">
        <v>9</v>
      </c>
      <c r="XFD260"/>
    </row>
    <row r="261" spans="1:16 16384:16384" s="5" customFormat="1">
      <c r="A261" s="5" t="str">
        <f t="shared" si="8"/>
        <v>CARDIO</v>
      </c>
      <c r="B261" s="5" t="str">
        <f t="shared" si="9"/>
        <v>CARDIO43085</v>
      </c>
      <c r="C261" s="5" t="str">
        <f>IF(ISNA(VLOOKUP(A261&amp;D261,VCEPReports,4,FALSE)),"",VLOOKUP(A261&amp;D261,VCEPReports,4,FALSE))</f>
        <v/>
      </c>
      <c r="D261" s="5">
        <v>43085</v>
      </c>
      <c r="E261" s="5" t="s">
        <v>24</v>
      </c>
      <c r="F261" s="6">
        <v>42719</v>
      </c>
      <c r="G261" s="5" t="s">
        <v>465</v>
      </c>
      <c r="H261" s="5" t="s">
        <v>195</v>
      </c>
      <c r="I261" s="5" t="s">
        <v>196</v>
      </c>
      <c r="J261" s="5" t="s">
        <v>0</v>
      </c>
      <c r="K261" s="5" t="s">
        <v>1</v>
      </c>
      <c r="L261" s="5" t="s">
        <v>2</v>
      </c>
      <c r="M261" s="5" t="s">
        <v>933</v>
      </c>
      <c r="N261" s="5" t="s">
        <v>466</v>
      </c>
      <c r="O261" s="5" t="s">
        <v>174</v>
      </c>
      <c r="P261" s="5" t="s">
        <v>9</v>
      </c>
      <c r="XFD261"/>
    </row>
    <row r="262" spans="1:16 16384:16384" s="5" customFormat="1">
      <c r="A262" s="5" t="str">
        <f t="shared" si="8"/>
        <v>CARDIO</v>
      </c>
      <c r="B262" s="5" t="str">
        <f t="shared" si="9"/>
        <v>CARDIO43086</v>
      </c>
      <c r="C262" s="5" t="str">
        <f>IF(ISNA(VLOOKUP(A262&amp;D262,VCEPReports,4,FALSE)),"",VLOOKUP(A262&amp;D262,VCEPReports,4,FALSE))</f>
        <v/>
      </c>
      <c r="D262" s="5">
        <v>43086</v>
      </c>
      <c r="E262" s="5" t="s">
        <v>65</v>
      </c>
      <c r="F262" s="6">
        <v>42719</v>
      </c>
      <c r="G262" s="5" t="s">
        <v>222</v>
      </c>
      <c r="H262" s="5" t="s">
        <v>214</v>
      </c>
      <c r="I262" s="5" t="s">
        <v>215</v>
      </c>
      <c r="J262" s="5" t="s">
        <v>0</v>
      </c>
      <c r="K262" s="5" t="s">
        <v>1</v>
      </c>
      <c r="L262" s="5" t="s">
        <v>2</v>
      </c>
      <c r="M262" s="5" t="s">
        <v>933</v>
      </c>
      <c r="N262" s="5" t="s">
        <v>467</v>
      </c>
      <c r="O262" s="5" t="s">
        <v>174</v>
      </c>
      <c r="P262" s="5" t="s">
        <v>9</v>
      </c>
      <c r="XFD262"/>
    </row>
    <row r="263" spans="1:16 16384:16384" s="5" customFormat="1">
      <c r="A263" s="5" t="str">
        <f t="shared" si="8"/>
        <v>CARDIO</v>
      </c>
      <c r="B263" s="5" t="str">
        <f t="shared" si="9"/>
        <v>CARDIO43088</v>
      </c>
      <c r="C263" s="5" t="str">
        <f>IF(ISNA(VLOOKUP(A263&amp;D263,VCEPReports,4,FALSE)),"",VLOOKUP(A263&amp;D263,VCEPReports,4,FALSE))</f>
        <v/>
      </c>
      <c r="D263" s="5">
        <v>43088</v>
      </c>
      <c r="E263" s="5" t="s">
        <v>24</v>
      </c>
      <c r="F263" s="6">
        <v>42719</v>
      </c>
      <c r="G263" s="5" t="s">
        <v>461</v>
      </c>
      <c r="H263" s="5" t="s">
        <v>195</v>
      </c>
      <c r="I263" s="5" t="s">
        <v>196</v>
      </c>
      <c r="J263" s="5" t="s">
        <v>0</v>
      </c>
      <c r="K263" s="5" t="s">
        <v>1</v>
      </c>
      <c r="L263" s="5" t="s">
        <v>2</v>
      </c>
      <c r="M263" s="5" t="s">
        <v>933</v>
      </c>
      <c r="N263" s="5" t="s">
        <v>468</v>
      </c>
      <c r="O263" s="5" t="s">
        <v>174</v>
      </c>
      <c r="P263" s="5" t="s">
        <v>9</v>
      </c>
      <c r="XFD263"/>
    </row>
    <row r="264" spans="1:16 16384:16384" s="5" customFormat="1">
      <c r="A264" s="5" t="str">
        <f t="shared" si="8"/>
        <v>CARDIO</v>
      </c>
      <c r="B264" s="5" t="str">
        <f t="shared" si="9"/>
        <v>CARDIO43092</v>
      </c>
      <c r="C264" s="5" t="str">
        <f>IF(ISNA(VLOOKUP(A264&amp;D264,VCEPReports,4,FALSE)),"",VLOOKUP(A264&amp;D264,VCEPReports,4,FALSE))</f>
        <v/>
      </c>
      <c r="D264" s="5">
        <v>43092</v>
      </c>
      <c r="E264" s="5" t="s">
        <v>65</v>
      </c>
      <c r="F264" s="6">
        <v>42719</v>
      </c>
      <c r="G264" s="5" t="s">
        <v>222</v>
      </c>
      <c r="H264" s="5" t="s">
        <v>214</v>
      </c>
      <c r="I264" s="5" t="s">
        <v>215</v>
      </c>
      <c r="J264" s="5" t="s">
        <v>0</v>
      </c>
      <c r="K264" s="5" t="s">
        <v>1</v>
      </c>
      <c r="L264" s="5" t="s">
        <v>2</v>
      </c>
      <c r="M264" s="5" t="s">
        <v>933</v>
      </c>
      <c r="N264" s="5" t="s">
        <v>469</v>
      </c>
      <c r="O264" s="5" t="s">
        <v>174</v>
      </c>
      <c r="P264" s="5" t="s">
        <v>9</v>
      </c>
      <c r="XFD264"/>
    </row>
    <row r="265" spans="1:16 16384:16384" s="5" customFormat="1">
      <c r="A265" s="5" t="str">
        <f t="shared" si="8"/>
        <v>CARDIO</v>
      </c>
      <c r="B265" s="5" t="str">
        <f t="shared" si="9"/>
        <v>CARDIO43103</v>
      </c>
      <c r="C265" s="5" t="str">
        <f>IF(ISNA(VLOOKUP(A265&amp;D265,VCEPReports,4,FALSE)),"",VLOOKUP(A265&amp;D265,VCEPReports,4,FALSE))</f>
        <v/>
      </c>
      <c r="D265" s="5">
        <v>43103</v>
      </c>
      <c r="E265" s="5" t="s">
        <v>65</v>
      </c>
      <c r="F265" s="6">
        <v>42719</v>
      </c>
      <c r="G265" s="5" t="s">
        <v>222</v>
      </c>
      <c r="H265" s="5" t="s">
        <v>214</v>
      </c>
      <c r="I265" s="5" t="s">
        <v>215</v>
      </c>
      <c r="J265" s="5" t="s">
        <v>0</v>
      </c>
      <c r="K265" s="5" t="s">
        <v>1</v>
      </c>
      <c r="L265" s="5" t="s">
        <v>2</v>
      </c>
      <c r="M265" s="5" t="s">
        <v>933</v>
      </c>
      <c r="N265" s="5" t="s">
        <v>470</v>
      </c>
      <c r="O265" s="5" t="s">
        <v>174</v>
      </c>
      <c r="P265" s="5" t="s">
        <v>9</v>
      </c>
      <c r="XFD265"/>
    </row>
    <row r="266" spans="1:16 16384:16384" s="5" customFormat="1">
      <c r="A266" s="5" t="str">
        <f t="shared" si="8"/>
        <v>CARDIO</v>
      </c>
      <c r="B266" s="5" t="str">
        <f t="shared" si="9"/>
        <v>CARDIO43106</v>
      </c>
      <c r="C266" s="5" t="str">
        <f>IF(ISNA(VLOOKUP(A266&amp;D266,VCEPReports,4,FALSE)),"",VLOOKUP(A266&amp;D266,VCEPReports,4,FALSE))</f>
        <v/>
      </c>
      <c r="D266" s="5">
        <v>43106</v>
      </c>
      <c r="E266" s="5" t="s">
        <v>3</v>
      </c>
      <c r="F266" s="6">
        <v>42719</v>
      </c>
      <c r="G266" s="5" t="s">
        <v>183</v>
      </c>
      <c r="H266" s="5" t="s">
        <v>171</v>
      </c>
      <c r="I266" s="5" t="s">
        <v>172</v>
      </c>
      <c r="J266" s="5" t="s">
        <v>0</v>
      </c>
      <c r="K266" s="5" t="s">
        <v>1</v>
      </c>
      <c r="L266" s="5" t="s">
        <v>2</v>
      </c>
      <c r="M266" s="5" t="s">
        <v>933</v>
      </c>
      <c r="N266" s="5" t="s">
        <v>471</v>
      </c>
      <c r="O266" s="5" t="s">
        <v>174</v>
      </c>
      <c r="P266" s="5" t="s">
        <v>9</v>
      </c>
      <c r="XFD266"/>
    </row>
    <row r="267" spans="1:16 16384:16384" s="5" customFormat="1">
      <c r="A267" s="5" t="str">
        <f t="shared" si="8"/>
        <v>CARDIO</v>
      </c>
      <c r="B267" s="5" t="str">
        <f t="shared" si="9"/>
        <v>CARDIO43116</v>
      </c>
      <c r="C267" s="5" t="str">
        <f>IF(ISNA(VLOOKUP(A267&amp;D267,VCEPReports,4,FALSE)),"",VLOOKUP(A267&amp;D267,VCEPReports,4,FALSE))</f>
        <v/>
      </c>
      <c r="D267" s="5">
        <v>43116</v>
      </c>
      <c r="E267" s="5" t="s">
        <v>65</v>
      </c>
      <c r="F267" s="6">
        <v>42719</v>
      </c>
      <c r="G267" s="5" t="s">
        <v>222</v>
      </c>
      <c r="H267" s="5" t="s">
        <v>214</v>
      </c>
      <c r="I267" s="5" t="s">
        <v>215</v>
      </c>
      <c r="J267" s="5" t="s">
        <v>0</v>
      </c>
      <c r="K267" s="5" t="s">
        <v>1</v>
      </c>
      <c r="L267" s="5" t="s">
        <v>2</v>
      </c>
      <c r="M267" s="5" t="s">
        <v>933</v>
      </c>
      <c r="N267" s="5" t="s">
        <v>472</v>
      </c>
      <c r="O267" s="5" t="s">
        <v>174</v>
      </c>
      <c r="P267" s="5" t="s">
        <v>9</v>
      </c>
      <c r="XFD267"/>
    </row>
    <row r="268" spans="1:16 16384:16384" s="5" customFormat="1">
      <c r="A268" s="5" t="str">
        <f t="shared" si="8"/>
        <v>HL</v>
      </c>
      <c r="B268" s="5" t="str">
        <f t="shared" si="9"/>
        <v>HL43134</v>
      </c>
      <c r="C268" s="5" t="str">
        <f>IF(ISNA(VLOOKUP(A268&amp;D268,VCEPReports,4,FALSE)),"",VLOOKUP(A268&amp;D268,VCEPReports,4,FALSE))</f>
        <v/>
      </c>
      <c r="D268" s="5">
        <v>43134</v>
      </c>
      <c r="E268" s="5" t="s">
        <v>86</v>
      </c>
      <c r="F268" s="6">
        <v>43360</v>
      </c>
      <c r="G268" s="5" t="s">
        <v>473</v>
      </c>
      <c r="H268" s="5" t="s">
        <v>79</v>
      </c>
      <c r="I268" s="5" t="s">
        <v>80</v>
      </c>
      <c r="J268" s="5" t="s">
        <v>0</v>
      </c>
      <c r="K268" s="5" t="s">
        <v>1</v>
      </c>
      <c r="L268" s="5" t="s">
        <v>2</v>
      </c>
      <c r="M268" s="5" t="s">
        <v>914</v>
      </c>
      <c r="N268" s="5" t="s">
        <v>474</v>
      </c>
      <c r="O268" s="5" t="s">
        <v>475</v>
      </c>
      <c r="P268" s="5" t="s">
        <v>9</v>
      </c>
      <c r="XFD268"/>
    </row>
    <row r="269" spans="1:16 16384:16384" s="5" customFormat="1">
      <c r="A269" s="5" t="str">
        <f t="shared" si="8"/>
        <v>HL</v>
      </c>
      <c r="B269" s="5" t="str">
        <f t="shared" si="9"/>
        <v>HL43201</v>
      </c>
      <c r="C269" s="5" t="str">
        <f>IF(ISNA(VLOOKUP(A269&amp;D269,VCEPReports,4,FALSE)),"",VLOOKUP(A269&amp;D269,VCEPReports,4,FALSE))</f>
        <v/>
      </c>
      <c r="D269" s="5">
        <v>43201</v>
      </c>
      <c r="E269" s="5" t="s">
        <v>65</v>
      </c>
      <c r="F269" s="6">
        <v>43371</v>
      </c>
      <c r="G269" s="5" t="s">
        <v>476</v>
      </c>
      <c r="H269" s="5" t="s">
        <v>79</v>
      </c>
      <c r="I269" s="5" t="s">
        <v>80</v>
      </c>
      <c r="J269" s="5" t="s">
        <v>0</v>
      </c>
      <c r="K269" s="5" t="s">
        <v>1</v>
      </c>
      <c r="L269" s="5" t="s">
        <v>2</v>
      </c>
      <c r="M269" s="5" t="s">
        <v>914</v>
      </c>
      <c r="N269" s="5" t="s">
        <v>477</v>
      </c>
      <c r="O269" s="5" t="s">
        <v>475</v>
      </c>
      <c r="P269" s="5" t="s">
        <v>9</v>
      </c>
      <c r="XFD269"/>
    </row>
    <row r="270" spans="1:16 16384:16384" s="5" customFormat="1">
      <c r="A270" s="5" t="str">
        <f t="shared" si="8"/>
        <v>HL</v>
      </c>
      <c r="B270" s="5" t="str">
        <f t="shared" si="9"/>
        <v>HL43207</v>
      </c>
      <c r="C270" s="5" t="str">
        <f>IF(ISNA(VLOOKUP(A270&amp;D270,VCEPReports,4,FALSE)),"",VLOOKUP(A270&amp;D270,VCEPReports,4,FALSE))</f>
        <v/>
      </c>
      <c r="D270" s="5">
        <v>43207</v>
      </c>
      <c r="E270" s="5" t="s">
        <v>65</v>
      </c>
      <c r="F270" s="6">
        <v>43371</v>
      </c>
      <c r="G270" s="5" t="s">
        <v>478</v>
      </c>
      <c r="H270" s="5" t="s">
        <v>79</v>
      </c>
      <c r="I270" s="5" t="s">
        <v>80</v>
      </c>
      <c r="J270" s="5" t="s">
        <v>0</v>
      </c>
      <c r="K270" s="5" t="s">
        <v>1</v>
      </c>
      <c r="L270" s="5" t="s">
        <v>2</v>
      </c>
      <c r="M270" s="5" t="s">
        <v>914</v>
      </c>
      <c r="N270" s="5" t="s">
        <v>479</v>
      </c>
      <c r="O270" s="5" t="s">
        <v>475</v>
      </c>
      <c r="P270" s="5" t="s">
        <v>9</v>
      </c>
      <c r="XFD270"/>
    </row>
    <row r="271" spans="1:16 16384:16384" s="5" customFormat="1">
      <c r="A271" s="5" t="str">
        <f t="shared" si="8"/>
        <v>HL</v>
      </c>
      <c r="B271" s="5" t="str">
        <f t="shared" si="9"/>
        <v>HL43498</v>
      </c>
      <c r="C271" s="5" t="str">
        <f>IF(ISNA(VLOOKUP(A271&amp;D271,VCEPReports,4,FALSE)),"",VLOOKUP(A271&amp;D271,VCEPReports,4,FALSE))</f>
        <v/>
      </c>
      <c r="D271" s="5">
        <v>43498</v>
      </c>
      <c r="E271" s="5" t="s">
        <v>3</v>
      </c>
      <c r="F271" s="6">
        <v>43360</v>
      </c>
      <c r="G271" s="5" t="s">
        <v>480</v>
      </c>
      <c r="H271" s="5" t="s">
        <v>72</v>
      </c>
      <c r="I271" s="5" t="s">
        <v>73</v>
      </c>
      <c r="J271" s="5" t="s">
        <v>0</v>
      </c>
      <c r="K271" s="5" t="s">
        <v>1</v>
      </c>
      <c r="L271" s="5" t="s">
        <v>2</v>
      </c>
      <c r="M271" s="5" t="s">
        <v>914</v>
      </c>
      <c r="N271" s="5" t="s">
        <v>481</v>
      </c>
      <c r="O271" s="5" t="s">
        <v>75</v>
      </c>
      <c r="P271" s="5" t="s">
        <v>9</v>
      </c>
      <c r="XFD271"/>
    </row>
    <row r="272" spans="1:16 16384:16384" s="5" customFormat="1">
      <c r="A272" s="5" t="str">
        <f t="shared" si="8"/>
        <v>HL</v>
      </c>
      <c r="B272" s="5" t="str">
        <f t="shared" si="9"/>
        <v>HL43507</v>
      </c>
      <c r="C272" s="5" t="str">
        <f>IF(ISNA(VLOOKUP(A272&amp;D272,VCEPReports,4,FALSE)),"",VLOOKUP(A272&amp;D272,VCEPReports,4,FALSE))</f>
        <v/>
      </c>
      <c r="D272" s="5">
        <v>43507</v>
      </c>
      <c r="E272" s="5" t="s">
        <v>65</v>
      </c>
      <c r="F272" s="6">
        <v>43371</v>
      </c>
      <c r="G272" s="5" t="s">
        <v>482</v>
      </c>
      <c r="H272" s="5" t="s">
        <v>72</v>
      </c>
      <c r="I272" s="5" t="s">
        <v>73</v>
      </c>
      <c r="J272" s="5" t="s">
        <v>0</v>
      </c>
      <c r="K272" s="5" t="s">
        <v>1</v>
      </c>
      <c r="L272" s="5" t="s">
        <v>2</v>
      </c>
      <c r="M272" s="5" t="s">
        <v>914</v>
      </c>
      <c r="N272" s="5" t="s">
        <v>483</v>
      </c>
      <c r="O272" s="5" t="s">
        <v>75</v>
      </c>
      <c r="P272" s="5" t="s">
        <v>9</v>
      </c>
      <c r="XFD272"/>
    </row>
    <row r="273" spans="1:16 16384:16384" s="5" customFormat="1">
      <c r="A273" s="5" t="str">
        <f t="shared" si="8"/>
        <v>HL</v>
      </c>
      <c r="B273" s="5" t="str">
        <f t="shared" si="9"/>
        <v>HL43546</v>
      </c>
      <c r="C273" s="5" t="str">
        <f>IF(ISNA(VLOOKUP(A273&amp;D273,VCEPReports,4,FALSE)),"",VLOOKUP(A273&amp;D273,VCEPReports,4,FALSE))</f>
        <v/>
      </c>
      <c r="D273" s="5">
        <v>43546</v>
      </c>
      <c r="E273" s="5" t="s">
        <v>86</v>
      </c>
      <c r="F273" s="6">
        <v>43371</v>
      </c>
      <c r="G273" s="5" t="s">
        <v>484</v>
      </c>
      <c r="H273" s="5" t="s">
        <v>72</v>
      </c>
      <c r="I273" s="5" t="s">
        <v>73</v>
      </c>
      <c r="J273" s="5" t="s">
        <v>0</v>
      </c>
      <c r="K273" s="5" t="s">
        <v>1</v>
      </c>
      <c r="L273" s="5" t="s">
        <v>2</v>
      </c>
      <c r="M273" s="5" t="s">
        <v>914</v>
      </c>
      <c r="N273" s="5" t="s">
        <v>485</v>
      </c>
      <c r="O273" s="5" t="s">
        <v>75</v>
      </c>
      <c r="P273" s="5" t="s">
        <v>9</v>
      </c>
      <c r="XFD273"/>
    </row>
    <row r="274" spans="1:16 16384:16384" s="5" customFormat="1">
      <c r="A274" s="5" t="str">
        <f t="shared" si="8"/>
        <v>HL</v>
      </c>
      <c r="B274" s="5" t="str">
        <f t="shared" si="9"/>
        <v>HL43555</v>
      </c>
      <c r="C274" s="5" t="str">
        <f>IF(ISNA(VLOOKUP(A274&amp;D274,VCEPReports,4,FALSE)),"",VLOOKUP(A274&amp;D274,VCEPReports,4,FALSE))</f>
        <v/>
      </c>
      <c r="D274" s="5">
        <v>43555</v>
      </c>
      <c r="E274" s="5" t="s">
        <v>24</v>
      </c>
      <c r="F274" s="6">
        <v>43369</v>
      </c>
      <c r="G274" s="5" t="s">
        <v>486</v>
      </c>
      <c r="H274" s="5" t="s">
        <v>72</v>
      </c>
      <c r="I274" s="5" t="s">
        <v>73</v>
      </c>
      <c r="J274" s="5" t="s">
        <v>0</v>
      </c>
      <c r="K274" s="5" t="s">
        <v>1</v>
      </c>
      <c r="L274" s="5" t="s">
        <v>2</v>
      </c>
      <c r="M274" s="5" t="s">
        <v>914</v>
      </c>
      <c r="N274" s="5" t="s">
        <v>487</v>
      </c>
      <c r="O274" s="5" t="s">
        <v>75</v>
      </c>
      <c r="P274" s="5" t="s">
        <v>9</v>
      </c>
      <c r="XFD274"/>
    </row>
    <row r="275" spans="1:16 16384:16384" s="5" customFormat="1">
      <c r="A275" s="5" t="str">
        <f t="shared" si="8"/>
        <v>HL</v>
      </c>
      <c r="B275" s="5" t="str">
        <f t="shared" si="9"/>
        <v>HL43560</v>
      </c>
      <c r="C275" s="5" t="str">
        <f>IF(ISNA(VLOOKUP(A275&amp;D275,VCEPReports,4,FALSE)),"",VLOOKUP(A275&amp;D275,VCEPReports,4,FALSE))</f>
        <v/>
      </c>
      <c r="D275" s="5">
        <v>43560</v>
      </c>
      <c r="E275" s="5" t="s">
        <v>65</v>
      </c>
      <c r="F275" s="6">
        <v>43371</v>
      </c>
      <c r="G275" s="5" t="s">
        <v>488</v>
      </c>
      <c r="H275" s="5" t="s">
        <v>72</v>
      </c>
      <c r="I275" s="5" t="s">
        <v>73</v>
      </c>
      <c r="J275" s="5" t="s">
        <v>0</v>
      </c>
      <c r="K275" s="5" t="s">
        <v>1</v>
      </c>
      <c r="L275" s="5" t="s">
        <v>2</v>
      </c>
      <c r="M275" s="5" t="s">
        <v>914</v>
      </c>
      <c r="N275" s="5" t="s">
        <v>489</v>
      </c>
      <c r="O275" s="5" t="s">
        <v>75</v>
      </c>
      <c r="P275" s="5" t="s">
        <v>9</v>
      </c>
      <c r="XFD275"/>
    </row>
    <row r="276" spans="1:16 16384:16384" s="5" customFormat="1">
      <c r="A276" s="5" t="str">
        <f t="shared" si="8"/>
        <v>HL</v>
      </c>
      <c r="B276" s="5" t="str">
        <f t="shared" si="9"/>
        <v>HL43565</v>
      </c>
      <c r="C276" s="5" t="str">
        <f>IF(ISNA(VLOOKUP(A276&amp;D276,VCEPReports,4,FALSE)),"",VLOOKUP(A276&amp;D276,VCEPReports,4,FALSE))</f>
        <v/>
      </c>
      <c r="D276" s="5">
        <v>43565</v>
      </c>
      <c r="E276" s="5" t="s">
        <v>24</v>
      </c>
      <c r="F276" s="6">
        <v>43353</v>
      </c>
      <c r="G276" s="5" t="s">
        <v>490</v>
      </c>
      <c r="H276" s="5" t="s">
        <v>72</v>
      </c>
      <c r="I276" s="5" t="s">
        <v>73</v>
      </c>
      <c r="J276" s="5" t="s">
        <v>0</v>
      </c>
      <c r="K276" s="5" t="s">
        <v>1</v>
      </c>
      <c r="L276" s="5" t="s">
        <v>2</v>
      </c>
      <c r="M276" s="5" t="s">
        <v>914</v>
      </c>
      <c r="N276" s="5" t="s">
        <v>491</v>
      </c>
      <c r="O276" s="5" t="s">
        <v>75</v>
      </c>
      <c r="P276" s="5" t="s">
        <v>9</v>
      </c>
      <c r="XFD276"/>
    </row>
    <row r="277" spans="1:16 16384:16384" s="5" customFormat="1">
      <c r="A277" s="5" t="str">
        <f t="shared" si="8"/>
        <v>RAS</v>
      </c>
      <c r="B277" s="5" t="str">
        <f t="shared" si="9"/>
        <v>RAS44586</v>
      </c>
      <c r="C277" s="5" t="str">
        <f>IF(ISNA(VLOOKUP(A277&amp;D277,VCEPReports,4,FALSE)),"",VLOOKUP(A277&amp;D277,VCEPReports,4,FALSE))</f>
        <v/>
      </c>
      <c r="D277" s="5">
        <v>44586</v>
      </c>
      <c r="E277" s="5" t="s">
        <v>65</v>
      </c>
      <c r="F277" s="6">
        <v>42864</v>
      </c>
      <c r="G277" s="5" t="s">
        <v>343</v>
      </c>
      <c r="H277" s="5" t="s">
        <v>109</v>
      </c>
      <c r="I277" s="5" t="s">
        <v>110</v>
      </c>
      <c r="J277" s="5" t="s">
        <v>0</v>
      </c>
      <c r="K277" s="5" t="s">
        <v>1</v>
      </c>
      <c r="L277" s="5" t="s">
        <v>2</v>
      </c>
      <c r="M277" s="5" t="s">
        <v>915</v>
      </c>
      <c r="N277" s="5" t="s">
        <v>492</v>
      </c>
      <c r="O277" s="5" t="s">
        <v>153</v>
      </c>
      <c r="P277" s="5" t="s">
        <v>9</v>
      </c>
      <c r="XFD277"/>
    </row>
    <row r="278" spans="1:16 16384:16384" s="5" customFormat="1">
      <c r="A278" s="5" t="str">
        <f t="shared" si="8"/>
        <v>RAS</v>
      </c>
      <c r="B278" s="5" t="str">
        <f t="shared" si="9"/>
        <v>RAS44588</v>
      </c>
      <c r="C278" s="5" t="str">
        <f>IF(ISNA(VLOOKUP(A278&amp;D278,VCEPReports,4,FALSE)),"",VLOOKUP(A278&amp;D278,VCEPReports,4,FALSE))</f>
        <v/>
      </c>
      <c r="D278" s="5">
        <v>44588</v>
      </c>
      <c r="E278" s="5" t="s">
        <v>24</v>
      </c>
      <c r="F278" s="6">
        <v>42864</v>
      </c>
      <c r="G278" s="5" t="s">
        <v>493</v>
      </c>
      <c r="H278" s="5" t="s">
        <v>102</v>
      </c>
      <c r="I278" s="5" t="s">
        <v>103</v>
      </c>
      <c r="J278" s="5" t="s">
        <v>0</v>
      </c>
      <c r="K278" s="5" t="s">
        <v>1</v>
      </c>
      <c r="L278" s="5" t="s">
        <v>2</v>
      </c>
      <c r="M278" s="5" t="s">
        <v>915</v>
      </c>
      <c r="N278" s="5" t="s">
        <v>494</v>
      </c>
      <c r="O278" s="5" t="s">
        <v>153</v>
      </c>
      <c r="P278" s="5" t="s">
        <v>9</v>
      </c>
      <c r="XFD278"/>
    </row>
    <row r="279" spans="1:16 16384:16384" s="5" customFormat="1">
      <c r="A279" s="5" t="str">
        <f t="shared" si="8"/>
        <v>RAS</v>
      </c>
      <c r="B279" s="5" t="str">
        <f t="shared" si="9"/>
        <v>RAS44589</v>
      </c>
      <c r="C279" s="5" t="str">
        <f>IF(ISNA(VLOOKUP(A279&amp;D279,VCEPReports,4,FALSE)),"",VLOOKUP(A279&amp;D279,VCEPReports,4,FALSE))</f>
        <v/>
      </c>
      <c r="D279" s="5">
        <v>44589</v>
      </c>
      <c r="E279" s="5" t="s">
        <v>65</v>
      </c>
      <c r="F279" s="6">
        <v>42864</v>
      </c>
      <c r="G279" s="5" t="s">
        <v>343</v>
      </c>
      <c r="H279" s="5" t="s">
        <v>109</v>
      </c>
      <c r="I279" s="5" t="s">
        <v>110</v>
      </c>
      <c r="J279" s="5" t="s">
        <v>0</v>
      </c>
      <c r="K279" s="5" t="s">
        <v>1</v>
      </c>
      <c r="L279" s="5" t="s">
        <v>2</v>
      </c>
      <c r="M279" s="5" t="s">
        <v>915</v>
      </c>
      <c r="N279" s="5" t="s">
        <v>495</v>
      </c>
      <c r="O279" s="5" t="s">
        <v>153</v>
      </c>
      <c r="P279" s="5" t="s">
        <v>9</v>
      </c>
      <c r="XFD279"/>
    </row>
    <row r="280" spans="1:16 16384:16384" s="5" customFormat="1">
      <c r="A280" s="5" t="str">
        <f t="shared" si="8"/>
        <v>RAS</v>
      </c>
      <c r="B280" s="5" t="str">
        <f t="shared" si="9"/>
        <v>RAS44590</v>
      </c>
      <c r="C280" s="5" t="str">
        <f>IF(ISNA(VLOOKUP(A280&amp;D280,VCEPReports,4,FALSE)),"",VLOOKUP(A280&amp;D280,VCEPReports,4,FALSE))</f>
        <v/>
      </c>
      <c r="D280" s="5">
        <v>44590</v>
      </c>
      <c r="E280" s="5" t="s">
        <v>65</v>
      </c>
      <c r="F280" s="6">
        <v>42864</v>
      </c>
      <c r="G280" s="5" t="s">
        <v>343</v>
      </c>
      <c r="H280" s="5" t="s">
        <v>109</v>
      </c>
      <c r="I280" s="5" t="s">
        <v>110</v>
      </c>
      <c r="J280" s="5" t="s">
        <v>0</v>
      </c>
      <c r="K280" s="5" t="s">
        <v>1</v>
      </c>
      <c r="L280" s="5" t="s">
        <v>2</v>
      </c>
      <c r="M280" s="5" t="s">
        <v>915</v>
      </c>
      <c r="N280" s="5" t="s">
        <v>496</v>
      </c>
      <c r="O280" s="5" t="s">
        <v>153</v>
      </c>
      <c r="P280" s="5" t="s">
        <v>9</v>
      </c>
      <c r="XFD280"/>
    </row>
    <row r="281" spans="1:16 16384:16384" s="5" customFormat="1">
      <c r="A281" s="5" t="str">
        <f t="shared" si="8"/>
        <v>RAS</v>
      </c>
      <c r="B281" s="5" t="str">
        <f t="shared" si="9"/>
        <v>RAS44592</v>
      </c>
      <c r="C281" s="5" t="str">
        <f>IF(ISNA(VLOOKUP(A281&amp;D281,VCEPReports,4,FALSE)),"",VLOOKUP(A281&amp;D281,VCEPReports,4,FALSE))</f>
        <v/>
      </c>
      <c r="D281" s="5">
        <v>44592</v>
      </c>
      <c r="E281" s="5" t="s">
        <v>65</v>
      </c>
      <c r="F281" s="6">
        <v>42864</v>
      </c>
      <c r="G281" s="5" t="s">
        <v>343</v>
      </c>
      <c r="H281" s="5" t="s">
        <v>109</v>
      </c>
      <c r="I281" s="5" t="s">
        <v>110</v>
      </c>
      <c r="J281" s="5" t="s">
        <v>0</v>
      </c>
      <c r="K281" s="5" t="s">
        <v>1</v>
      </c>
      <c r="L281" s="5" t="s">
        <v>2</v>
      </c>
      <c r="M281" s="5" t="s">
        <v>915</v>
      </c>
      <c r="N281" s="5" t="s">
        <v>497</v>
      </c>
      <c r="O281" s="5" t="s">
        <v>153</v>
      </c>
      <c r="P281" s="5" t="s">
        <v>9</v>
      </c>
      <c r="XFD281"/>
    </row>
    <row r="282" spans="1:16 16384:16384" s="5" customFormat="1">
      <c r="A282" s="5" t="str">
        <f t="shared" si="8"/>
        <v>RAS</v>
      </c>
      <c r="B282" s="5" t="str">
        <f t="shared" si="9"/>
        <v>RAS44599</v>
      </c>
      <c r="C282" s="5" t="str">
        <f>IF(ISNA(VLOOKUP(A282&amp;D282,VCEPReports,4,FALSE)),"",VLOOKUP(A282&amp;D282,VCEPReports,4,FALSE))</f>
        <v/>
      </c>
      <c r="D282" s="5">
        <v>44599</v>
      </c>
      <c r="E282" s="5" t="s">
        <v>212</v>
      </c>
      <c r="F282" s="6">
        <v>42828</v>
      </c>
      <c r="G282" s="5" t="s">
        <v>498</v>
      </c>
      <c r="H282" s="5" t="s">
        <v>109</v>
      </c>
      <c r="I282" s="5" t="s">
        <v>110</v>
      </c>
      <c r="J282" s="5" t="s">
        <v>0</v>
      </c>
      <c r="K282" s="5" t="s">
        <v>1</v>
      </c>
      <c r="L282" s="5" t="s">
        <v>2</v>
      </c>
      <c r="M282" s="5" t="s">
        <v>915</v>
      </c>
      <c r="N282" s="5" t="s">
        <v>499</v>
      </c>
      <c r="O282" s="5" t="s">
        <v>143</v>
      </c>
      <c r="P282" s="5" t="s">
        <v>9</v>
      </c>
      <c r="XFD282"/>
    </row>
    <row r="283" spans="1:16 16384:16384" s="5" customFormat="1">
      <c r="A283" s="5" t="str">
        <f t="shared" si="8"/>
        <v>RAS</v>
      </c>
      <c r="B283" s="5" t="str">
        <f t="shared" si="9"/>
        <v>RAS44608</v>
      </c>
      <c r="C283" s="5" t="str">
        <f>IF(ISNA(VLOOKUP(A283&amp;D283,VCEPReports,4,FALSE)),"",VLOOKUP(A283&amp;D283,VCEPReports,4,FALSE))</f>
        <v/>
      </c>
      <c r="D283" s="5">
        <v>44608</v>
      </c>
      <c r="E283" s="5" t="s">
        <v>212</v>
      </c>
      <c r="F283" s="6">
        <v>42843</v>
      </c>
      <c r="G283" s="5" t="s">
        <v>260</v>
      </c>
      <c r="H283" s="5" t="s">
        <v>109</v>
      </c>
      <c r="I283" s="5" t="s">
        <v>110</v>
      </c>
      <c r="J283" s="5" t="s">
        <v>0</v>
      </c>
      <c r="K283" s="5" t="s">
        <v>1</v>
      </c>
      <c r="L283" s="5" t="s">
        <v>2</v>
      </c>
      <c r="M283" s="5" t="s">
        <v>915</v>
      </c>
      <c r="N283" s="5" t="s">
        <v>500</v>
      </c>
      <c r="O283" s="5" t="s">
        <v>143</v>
      </c>
      <c r="P283" s="5" t="s">
        <v>9</v>
      </c>
      <c r="XFD283"/>
    </row>
    <row r="284" spans="1:16 16384:16384" s="5" customFormat="1">
      <c r="A284" s="5" t="str">
        <f t="shared" si="8"/>
        <v>RAS</v>
      </c>
      <c r="B284" s="5" t="str">
        <f t="shared" si="9"/>
        <v>RAS44623</v>
      </c>
      <c r="C284" s="5" t="str">
        <f>IF(ISNA(VLOOKUP(A284&amp;D284,VCEPReports,4,FALSE)),"",VLOOKUP(A284&amp;D284,VCEPReports,4,FALSE))</f>
        <v/>
      </c>
      <c r="D284" s="5">
        <v>44623</v>
      </c>
      <c r="E284" s="5" t="s">
        <v>65</v>
      </c>
      <c r="F284" s="6">
        <v>42843</v>
      </c>
      <c r="G284" s="5" t="s">
        <v>219</v>
      </c>
      <c r="H284" s="5" t="s">
        <v>109</v>
      </c>
      <c r="I284" s="5" t="s">
        <v>110</v>
      </c>
      <c r="J284" s="5" t="s">
        <v>0</v>
      </c>
      <c r="K284" s="5" t="s">
        <v>1</v>
      </c>
      <c r="L284" s="5" t="s">
        <v>2</v>
      </c>
      <c r="M284" s="5" t="s">
        <v>915</v>
      </c>
      <c r="N284" s="5" t="s">
        <v>501</v>
      </c>
      <c r="O284" s="5" t="s">
        <v>158</v>
      </c>
      <c r="P284" s="5" t="s">
        <v>9</v>
      </c>
      <c r="XFD284"/>
    </row>
    <row r="285" spans="1:16 16384:16384" s="5" customFormat="1">
      <c r="A285" s="5" t="str">
        <f t="shared" si="8"/>
        <v>HL</v>
      </c>
      <c r="B285" s="5" t="str">
        <f t="shared" si="9"/>
        <v>HL44740</v>
      </c>
      <c r="C285" s="5" t="str">
        <f>IF(ISNA(VLOOKUP(A285&amp;D285,VCEPReports,4,FALSE)),"",VLOOKUP(A285&amp;D285,VCEPReports,4,FALSE))</f>
        <v/>
      </c>
      <c r="D285" s="5">
        <v>44740</v>
      </c>
      <c r="E285" s="5" t="s">
        <v>24</v>
      </c>
      <c r="F285" s="6">
        <v>43354</v>
      </c>
      <c r="G285" s="5" t="s">
        <v>502</v>
      </c>
      <c r="H285" s="5" t="s">
        <v>79</v>
      </c>
      <c r="I285" s="5" t="s">
        <v>80</v>
      </c>
      <c r="J285" s="5" t="s">
        <v>0</v>
      </c>
      <c r="K285" s="5" t="s">
        <v>1</v>
      </c>
      <c r="L285" s="5" t="s">
        <v>2</v>
      </c>
      <c r="M285" s="5" t="s">
        <v>914</v>
      </c>
      <c r="N285" s="5" t="s">
        <v>503</v>
      </c>
      <c r="O285" s="5" t="s">
        <v>203</v>
      </c>
      <c r="P285" s="5" t="s">
        <v>9</v>
      </c>
      <c r="XFD285"/>
    </row>
    <row r="286" spans="1:16 16384:16384" s="5" customFormat="1">
      <c r="A286" s="5" t="str">
        <f t="shared" si="8"/>
        <v>RAS</v>
      </c>
      <c r="B286" s="5" t="str">
        <f t="shared" si="9"/>
        <v>RAS44788</v>
      </c>
      <c r="C286" s="5" t="str">
        <f>IF(ISNA(VLOOKUP(A286&amp;D286,VCEPReports,4,FALSE)),"",VLOOKUP(A286&amp;D286,VCEPReports,4,FALSE))</f>
        <v/>
      </c>
      <c r="D286" s="5">
        <v>44788</v>
      </c>
      <c r="E286" s="5" t="s">
        <v>65</v>
      </c>
      <c r="F286" s="6">
        <v>42843</v>
      </c>
      <c r="G286" s="5" t="s">
        <v>219</v>
      </c>
      <c r="H286" s="5" t="s">
        <v>109</v>
      </c>
      <c r="I286" s="5" t="s">
        <v>110</v>
      </c>
      <c r="J286" s="5" t="s">
        <v>0</v>
      </c>
      <c r="K286" s="5" t="s">
        <v>1</v>
      </c>
      <c r="L286" s="5" t="s">
        <v>2</v>
      </c>
      <c r="M286" s="5" t="s">
        <v>915</v>
      </c>
      <c r="N286" s="5" t="s">
        <v>504</v>
      </c>
      <c r="O286" s="5" t="s">
        <v>165</v>
      </c>
      <c r="P286" s="5" t="s">
        <v>9</v>
      </c>
      <c r="XFD286"/>
    </row>
    <row r="287" spans="1:16 16384:16384" s="5" customFormat="1">
      <c r="A287" s="5" t="str">
        <f t="shared" si="8"/>
        <v>RAS</v>
      </c>
      <c r="B287" s="5" t="str">
        <f t="shared" si="9"/>
        <v>RAS44825</v>
      </c>
      <c r="C287" s="5" t="str">
        <f>IF(ISNA(VLOOKUP(A287&amp;D287,VCEPReports,4,FALSE)),"",VLOOKUP(A287&amp;D287,VCEPReports,4,FALSE))</f>
        <v/>
      </c>
      <c r="D287" s="5">
        <v>44825</v>
      </c>
      <c r="E287" s="5" t="s">
        <v>65</v>
      </c>
      <c r="F287" s="6">
        <v>42843</v>
      </c>
      <c r="G287" s="5" t="s">
        <v>219</v>
      </c>
      <c r="H287" s="5" t="s">
        <v>109</v>
      </c>
      <c r="I287" s="5" t="s">
        <v>110</v>
      </c>
      <c r="J287" s="5" t="s">
        <v>0</v>
      </c>
      <c r="K287" s="5" t="s">
        <v>1</v>
      </c>
      <c r="L287" s="5" t="s">
        <v>2</v>
      </c>
      <c r="M287" s="5" t="s">
        <v>915</v>
      </c>
      <c r="N287" s="5" t="s">
        <v>505</v>
      </c>
      <c r="O287" s="5" t="s">
        <v>165</v>
      </c>
      <c r="P287" s="5" t="s">
        <v>9</v>
      </c>
      <c r="XFD287"/>
    </row>
    <row r="288" spans="1:16 16384:16384" s="5" customFormat="1">
      <c r="A288" s="5" t="str">
        <f t="shared" si="8"/>
        <v>RAS</v>
      </c>
      <c r="B288" s="5" t="str">
        <f t="shared" si="9"/>
        <v>RAS44826</v>
      </c>
      <c r="C288" s="5" t="str">
        <f>IF(ISNA(VLOOKUP(A288&amp;D288,VCEPReports,4,FALSE)),"",VLOOKUP(A288&amp;D288,VCEPReports,4,FALSE))</f>
        <v/>
      </c>
      <c r="D288" s="5">
        <v>44826</v>
      </c>
      <c r="E288" s="5" t="s">
        <v>212</v>
      </c>
      <c r="F288" s="6">
        <v>42843</v>
      </c>
      <c r="G288" s="5" t="s">
        <v>260</v>
      </c>
      <c r="H288" s="5" t="s">
        <v>109</v>
      </c>
      <c r="I288" s="5" t="s">
        <v>110</v>
      </c>
      <c r="J288" s="5" t="s">
        <v>0</v>
      </c>
      <c r="K288" s="5" t="s">
        <v>1</v>
      </c>
      <c r="L288" s="5" t="s">
        <v>2</v>
      </c>
      <c r="M288" s="5" t="s">
        <v>915</v>
      </c>
      <c r="N288" s="5" t="s">
        <v>506</v>
      </c>
      <c r="O288" s="5" t="s">
        <v>165</v>
      </c>
      <c r="P288" s="5" t="s">
        <v>9</v>
      </c>
      <c r="XFD288"/>
    </row>
    <row r="289" spans="1:16 16384:16384" s="5" customFormat="1">
      <c r="A289" s="5" t="str">
        <f t="shared" si="8"/>
        <v>RAS</v>
      </c>
      <c r="B289" s="5" t="str">
        <f t="shared" si="9"/>
        <v>RAS44827</v>
      </c>
      <c r="C289" s="5" t="str">
        <f>IF(ISNA(VLOOKUP(A289&amp;D289,VCEPReports,4,FALSE)),"",VLOOKUP(A289&amp;D289,VCEPReports,4,FALSE))</f>
        <v/>
      </c>
      <c r="D289" s="5">
        <v>44827</v>
      </c>
      <c r="E289" s="5" t="s">
        <v>65</v>
      </c>
      <c r="F289" s="6">
        <v>42843</v>
      </c>
      <c r="G289" s="5" t="s">
        <v>219</v>
      </c>
      <c r="H289" s="5" t="s">
        <v>109</v>
      </c>
      <c r="I289" s="5" t="s">
        <v>110</v>
      </c>
      <c r="J289" s="5" t="s">
        <v>0</v>
      </c>
      <c r="K289" s="5" t="s">
        <v>1</v>
      </c>
      <c r="L289" s="5" t="s">
        <v>2</v>
      </c>
      <c r="M289" s="5" t="s">
        <v>915</v>
      </c>
      <c r="N289" s="5" t="s">
        <v>507</v>
      </c>
      <c r="O289" s="5" t="s">
        <v>165</v>
      </c>
      <c r="P289" s="5" t="s">
        <v>9</v>
      </c>
      <c r="XFD289"/>
    </row>
    <row r="290" spans="1:16 16384:16384" s="5" customFormat="1">
      <c r="A290" s="5" t="str">
        <f t="shared" si="8"/>
        <v>RAS</v>
      </c>
      <c r="B290" s="5" t="str">
        <f t="shared" si="9"/>
        <v>RAS44833</v>
      </c>
      <c r="C290" s="5" t="str">
        <f>IF(ISNA(VLOOKUP(A290&amp;D290,VCEPReports,4,FALSE)),"",VLOOKUP(A290&amp;D290,VCEPReports,4,FALSE))</f>
        <v/>
      </c>
      <c r="D290" s="5">
        <v>44833</v>
      </c>
      <c r="E290" s="5" t="s">
        <v>212</v>
      </c>
      <c r="F290" s="6">
        <v>42828</v>
      </c>
      <c r="G290" s="5" t="s">
        <v>508</v>
      </c>
      <c r="H290" s="5" t="s">
        <v>109</v>
      </c>
      <c r="I290" s="5" t="s">
        <v>110</v>
      </c>
      <c r="J290" s="5" t="s">
        <v>0</v>
      </c>
      <c r="K290" s="5" t="s">
        <v>1</v>
      </c>
      <c r="L290" s="5" t="s">
        <v>2</v>
      </c>
      <c r="M290" s="5" t="s">
        <v>915</v>
      </c>
      <c r="N290" s="5" t="s">
        <v>509</v>
      </c>
      <c r="O290" s="5" t="s">
        <v>165</v>
      </c>
      <c r="P290" s="5" t="s">
        <v>9</v>
      </c>
      <c r="XFD290"/>
    </row>
    <row r="291" spans="1:16 16384:16384" s="5" customFormat="1">
      <c r="A291" s="5" t="str">
        <f t="shared" si="8"/>
        <v>RAS</v>
      </c>
      <c r="B291" s="5" t="str">
        <f t="shared" si="9"/>
        <v>RAS44834</v>
      </c>
      <c r="C291" s="5" t="str">
        <f>IF(ISNA(VLOOKUP(A291&amp;D291,VCEPReports,4,FALSE)),"",VLOOKUP(A291&amp;D291,VCEPReports,4,FALSE))</f>
        <v/>
      </c>
      <c r="D291" s="5">
        <v>44834</v>
      </c>
      <c r="E291" s="5" t="s">
        <v>65</v>
      </c>
      <c r="F291" s="6">
        <v>42828</v>
      </c>
      <c r="G291" s="5" t="s">
        <v>510</v>
      </c>
      <c r="H291" s="5" t="s">
        <v>109</v>
      </c>
      <c r="I291" s="5" t="s">
        <v>110</v>
      </c>
      <c r="J291" s="5" t="s">
        <v>0</v>
      </c>
      <c r="K291" s="5" t="s">
        <v>1</v>
      </c>
      <c r="L291" s="5" t="s">
        <v>2</v>
      </c>
      <c r="M291" s="5" t="s">
        <v>915</v>
      </c>
      <c r="N291" s="5" t="s">
        <v>511</v>
      </c>
      <c r="O291" s="5" t="s">
        <v>165</v>
      </c>
      <c r="P291" s="5" t="s">
        <v>9</v>
      </c>
      <c r="XFD291"/>
    </row>
    <row r="292" spans="1:16 16384:16384" s="5" customFormat="1">
      <c r="A292" s="5" t="str">
        <f t="shared" si="8"/>
        <v>RAS</v>
      </c>
      <c r="B292" s="5" t="str">
        <f t="shared" si="9"/>
        <v>RAS45119</v>
      </c>
      <c r="C292" s="5" t="str">
        <f>IF(ISNA(VLOOKUP(A292&amp;D292,VCEPReports,4,FALSE)),"",VLOOKUP(A292&amp;D292,VCEPReports,4,FALSE))</f>
        <v/>
      </c>
      <c r="D292" s="5">
        <v>45119</v>
      </c>
      <c r="E292" s="5" t="s">
        <v>212</v>
      </c>
      <c r="F292" s="6">
        <v>42843</v>
      </c>
      <c r="G292" s="5" t="s">
        <v>260</v>
      </c>
      <c r="H292" s="5" t="s">
        <v>109</v>
      </c>
      <c r="I292" s="5" t="s">
        <v>110</v>
      </c>
      <c r="J292" s="5" t="s">
        <v>0</v>
      </c>
      <c r="K292" s="5" t="s">
        <v>1</v>
      </c>
      <c r="L292" s="5" t="s">
        <v>2</v>
      </c>
      <c r="M292" s="5" t="s">
        <v>915</v>
      </c>
      <c r="N292" s="5" t="s">
        <v>512</v>
      </c>
      <c r="O292" s="5" t="s">
        <v>116</v>
      </c>
      <c r="P292" s="5" t="s">
        <v>9</v>
      </c>
      <c r="XFD292"/>
    </row>
    <row r="293" spans="1:16 16384:16384" s="5" customFormat="1">
      <c r="A293" s="5" t="str">
        <f t="shared" si="8"/>
        <v>RAS</v>
      </c>
      <c r="B293" s="5" t="str">
        <f t="shared" si="9"/>
        <v>RAS45129</v>
      </c>
      <c r="C293" s="5" t="str">
        <f>IF(ISNA(VLOOKUP(A293&amp;D293,VCEPReports,4,FALSE)),"",VLOOKUP(A293&amp;D293,VCEPReports,4,FALSE))</f>
        <v/>
      </c>
      <c r="D293" s="5">
        <v>45129</v>
      </c>
      <c r="E293" s="5" t="s">
        <v>65</v>
      </c>
      <c r="F293" s="6">
        <v>42828</v>
      </c>
      <c r="G293" s="5" t="s">
        <v>513</v>
      </c>
      <c r="H293" s="5" t="s">
        <v>109</v>
      </c>
      <c r="I293" s="5" t="s">
        <v>110</v>
      </c>
      <c r="J293" s="5" t="s">
        <v>0</v>
      </c>
      <c r="K293" s="5" t="s">
        <v>1</v>
      </c>
      <c r="L293" s="5" t="s">
        <v>2</v>
      </c>
      <c r="M293" s="5" t="s">
        <v>915</v>
      </c>
      <c r="N293" s="5" t="s">
        <v>514</v>
      </c>
      <c r="O293" s="5" t="s">
        <v>116</v>
      </c>
      <c r="P293" s="5" t="s">
        <v>9</v>
      </c>
      <c r="XFD293"/>
    </row>
    <row r="294" spans="1:16 16384:16384" s="5" customFormat="1">
      <c r="A294" s="5" t="str">
        <f t="shared" si="8"/>
        <v>HL</v>
      </c>
      <c r="B294" s="5" t="str">
        <f t="shared" si="9"/>
        <v>HL45163</v>
      </c>
      <c r="C294" s="5" t="str">
        <f>IF(ISNA(VLOOKUP(A294&amp;D294,VCEPReports,4,FALSE)),"",VLOOKUP(A294&amp;D294,VCEPReports,4,FALSE))</f>
        <v/>
      </c>
      <c r="D294" s="5">
        <v>45163</v>
      </c>
      <c r="E294" s="5" t="s">
        <v>65</v>
      </c>
      <c r="F294" s="6">
        <v>43363</v>
      </c>
      <c r="G294" s="5" t="s">
        <v>515</v>
      </c>
      <c r="H294" s="5" t="s">
        <v>79</v>
      </c>
      <c r="I294" s="5" t="s">
        <v>80</v>
      </c>
      <c r="J294" s="5" t="s">
        <v>0</v>
      </c>
      <c r="K294" s="5" t="s">
        <v>1</v>
      </c>
      <c r="L294" s="5" t="s">
        <v>2</v>
      </c>
      <c r="M294" s="5" t="s">
        <v>914</v>
      </c>
      <c r="N294" s="5" t="s">
        <v>516</v>
      </c>
      <c r="O294" s="5" t="s">
        <v>517</v>
      </c>
      <c r="P294" s="5" t="s">
        <v>9</v>
      </c>
      <c r="XFD294"/>
    </row>
    <row r="295" spans="1:16 16384:16384" s="5" customFormat="1">
      <c r="A295" s="5" t="str">
        <f t="shared" si="8"/>
        <v>RAS</v>
      </c>
      <c r="B295" s="5" t="str">
        <f t="shared" si="9"/>
        <v>RAS45305</v>
      </c>
      <c r="C295" s="5" t="str">
        <f>IF(ISNA(VLOOKUP(A295&amp;D295,VCEPReports,4,FALSE)),"",VLOOKUP(A295&amp;D295,VCEPReports,4,FALSE))</f>
        <v/>
      </c>
      <c r="D295" s="5">
        <v>45305</v>
      </c>
      <c r="E295" s="5" t="s">
        <v>212</v>
      </c>
      <c r="F295" s="6">
        <v>42828</v>
      </c>
      <c r="G295" s="5" t="s">
        <v>518</v>
      </c>
      <c r="H295" s="5" t="s">
        <v>109</v>
      </c>
      <c r="I295" s="5" t="s">
        <v>110</v>
      </c>
      <c r="J295" s="5" t="s">
        <v>0</v>
      </c>
      <c r="K295" s="5" t="s">
        <v>1</v>
      </c>
      <c r="L295" s="5" t="s">
        <v>2</v>
      </c>
      <c r="M295" s="5" t="s">
        <v>915</v>
      </c>
      <c r="N295" s="5" t="s">
        <v>519</v>
      </c>
      <c r="O295" s="5" t="s">
        <v>131</v>
      </c>
      <c r="P295" s="5" t="s">
        <v>9</v>
      </c>
      <c r="XFD295"/>
    </row>
    <row r="296" spans="1:16 16384:16384" s="5" customFormat="1">
      <c r="A296" s="5" t="str">
        <f t="shared" si="8"/>
        <v>HL</v>
      </c>
      <c r="B296" s="5" t="str">
        <f t="shared" si="9"/>
        <v>HL45314</v>
      </c>
      <c r="C296" s="5" t="str">
        <f>IF(ISNA(VLOOKUP(A296&amp;D296,VCEPReports,4,FALSE)),"",VLOOKUP(A296&amp;D296,VCEPReports,4,FALSE))</f>
        <v/>
      </c>
      <c r="D296" s="5">
        <v>45314</v>
      </c>
      <c r="E296" s="5" t="s">
        <v>65</v>
      </c>
      <c r="F296" s="6">
        <v>43371</v>
      </c>
      <c r="G296" s="5" t="s">
        <v>520</v>
      </c>
      <c r="H296" s="5" t="s">
        <v>79</v>
      </c>
      <c r="I296" s="5" t="s">
        <v>80</v>
      </c>
      <c r="J296" s="5" t="s">
        <v>0</v>
      </c>
      <c r="K296" s="5" t="s">
        <v>1</v>
      </c>
      <c r="L296" s="5" t="s">
        <v>2</v>
      </c>
      <c r="M296" s="5" t="s">
        <v>914</v>
      </c>
      <c r="N296" s="5" t="s">
        <v>521</v>
      </c>
      <c r="O296" s="5" t="s">
        <v>522</v>
      </c>
      <c r="P296" s="5" t="s">
        <v>9</v>
      </c>
      <c r="XFD296"/>
    </row>
    <row r="297" spans="1:16 16384:16384" s="5" customFormat="1">
      <c r="A297" s="5" t="str">
        <f t="shared" si="8"/>
        <v>RAS</v>
      </c>
      <c r="B297" s="5" t="str">
        <f t="shared" si="9"/>
        <v>RAS45343</v>
      </c>
      <c r="C297" s="5" t="str">
        <f>IF(ISNA(VLOOKUP(A297&amp;D297,VCEPReports,4,FALSE)),"",VLOOKUP(A297&amp;D297,VCEPReports,4,FALSE))</f>
        <v/>
      </c>
      <c r="D297" s="5">
        <v>45343</v>
      </c>
      <c r="E297" s="5" t="s">
        <v>65</v>
      </c>
      <c r="F297" s="6">
        <v>42843</v>
      </c>
      <c r="G297" s="5" t="s">
        <v>219</v>
      </c>
      <c r="H297" s="5" t="s">
        <v>109</v>
      </c>
      <c r="I297" s="5" t="s">
        <v>110</v>
      </c>
      <c r="J297" s="5" t="s">
        <v>0</v>
      </c>
      <c r="K297" s="5" t="s">
        <v>1</v>
      </c>
      <c r="L297" s="5" t="s">
        <v>2</v>
      </c>
      <c r="M297" s="5" t="s">
        <v>915</v>
      </c>
      <c r="N297" s="5" t="s">
        <v>523</v>
      </c>
      <c r="O297" s="5" t="s">
        <v>140</v>
      </c>
      <c r="P297" s="5" t="s">
        <v>9</v>
      </c>
      <c r="XFD297"/>
    </row>
    <row r="298" spans="1:16 16384:16384" s="5" customFormat="1">
      <c r="A298" s="5" t="str">
        <f t="shared" si="8"/>
        <v>RAS</v>
      </c>
      <c r="B298" s="5" t="str">
        <f t="shared" si="9"/>
        <v>RAS45350</v>
      </c>
      <c r="C298" s="5" t="str">
        <f>IF(ISNA(VLOOKUP(A298&amp;D298,VCEPReports,4,FALSE)),"",VLOOKUP(A298&amp;D298,VCEPReports,4,FALSE))</f>
        <v/>
      </c>
      <c r="D298" s="5">
        <v>45350</v>
      </c>
      <c r="E298" s="5" t="s">
        <v>65</v>
      </c>
      <c r="F298" s="6">
        <v>42843</v>
      </c>
      <c r="G298" s="5" t="s">
        <v>219</v>
      </c>
      <c r="H298" s="5" t="s">
        <v>109</v>
      </c>
      <c r="I298" s="5" t="s">
        <v>110</v>
      </c>
      <c r="J298" s="5" t="s">
        <v>0</v>
      </c>
      <c r="K298" s="5" t="s">
        <v>1</v>
      </c>
      <c r="L298" s="5" t="s">
        <v>2</v>
      </c>
      <c r="M298" s="5" t="s">
        <v>915</v>
      </c>
      <c r="N298" s="5" t="s">
        <v>524</v>
      </c>
      <c r="O298" s="5" t="s">
        <v>140</v>
      </c>
      <c r="P298" s="5" t="s">
        <v>9</v>
      </c>
      <c r="XFD298"/>
    </row>
    <row r="299" spans="1:16 16384:16384" s="5" customFormat="1">
      <c r="A299" s="5" t="str">
        <f t="shared" si="8"/>
        <v>RAS</v>
      </c>
      <c r="B299" s="5" t="str">
        <f t="shared" si="9"/>
        <v>RAS45362</v>
      </c>
      <c r="C299" s="5" t="str">
        <f>IF(ISNA(VLOOKUP(A299&amp;D299,VCEPReports,4,FALSE)),"",VLOOKUP(A299&amp;D299,VCEPReports,4,FALSE))</f>
        <v/>
      </c>
      <c r="D299" s="5">
        <v>45362</v>
      </c>
      <c r="E299" s="5" t="s">
        <v>65</v>
      </c>
      <c r="F299" s="6">
        <v>42843</v>
      </c>
      <c r="G299" s="5" t="s">
        <v>219</v>
      </c>
      <c r="H299" s="5" t="s">
        <v>109</v>
      </c>
      <c r="I299" s="5" t="s">
        <v>110</v>
      </c>
      <c r="J299" s="5" t="s">
        <v>0</v>
      </c>
      <c r="K299" s="5" t="s">
        <v>1</v>
      </c>
      <c r="L299" s="5" t="s">
        <v>2</v>
      </c>
      <c r="M299" s="5" t="s">
        <v>915</v>
      </c>
      <c r="N299" s="5" t="s">
        <v>525</v>
      </c>
      <c r="O299" s="5" t="s">
        <v>140</v>
      </c>
      <c r="P299" s="5" t="s">
        <v>9</v>
      </c>
      <c r="XFD299"/>
    </row>
    <row r="300" spans="1:16 16384:16384" s="5" customFormat="1">
      <c r="A300" s="5" t="str">
        <f t="shared" si="8"/>
        <v>RAS</v>
      </c>
      <c r="B300" s="5" t="str">
        <f t="shared" si="9"/>
        <v>RAS45364</v>
      </c>
      <c r="C300" s="5" t="str">
        <f>IF(ISNA(VLOOKUP(A300&amp;D300,VCEPReports,4,FALSE)),"",VLOOKUP(A300&amp;D300,VCEPReports,4,FALSE))</f>
        <v/>
      </c>
      <c r="D300" s="5">
        <v>45364</v>
      </c>
      <c r="E300" s="5" t="s">
        <v>212</v>
      </c>
      <c r="F300" s="6">
        <v>42828</v>
      </c>
      <c r="G300" s="5" t="s">
        <v>526</v>
      </c>
      <c r="H300" s="5" t="s">
        <v>109</v>
      </c>
      <c r="I300" s="5" t="s">
        <v>110</v>
      </c>
      <c r="J300" s="5" t="s">
        <v>0</v>
      </c>
      <c r="K300" s="5" t="s">
        <v>1</v>
      </c>
      <c r="L300" s="5" t="s">
        <v>2</v>
      </c>
      <c r="M300" s="5" t="s">
        <v>915</v>
      </c>
      <c r="N300" s="5" t="s">
        <v>527</v>
      </c>
      <c r="O300" s="5" t="s">
        <v>140</v>
      </c>
      <c r="P300" s="5" t="s">
        <v>9</v>
      </c>
      <c r="XFD300"/>
    </row>
    <row r="301" spans="1:16 16384:16384" s="5" customFormat="1">
      <c r="A301" s="5" t="str">
        <f t="shared" si="8"/>
        <v>RAS</v>
      </c>
      <c r="B301" s="5" t="str">
        <f t="shared" si="9"/>
        <v>RAS45367</v>
      </c>
      <c r="C301" s="5" t="str">
        <f>IF(ISNA(VLOOKUP(A301&amp;D301,VCEPReports,4,FALSE)),"",VLOOKUP(A301&amp;D301,VCEPReports,4,FALSE))</f>
        <v/>
      </c>
      <c r="D301" s="5">
        <v>45367</v>
      </c>
      <c r="E301" s="5" t="s">
        <v>212</v>
      </c>
      <c r="F301" s="6">
        <v>42843</v>
      </c>
      <c r="G301" s="5" t="s">
        <v>260</v>
      </c>
      <c r="H301" s="5" t="s">
        <v>109</v>
      </c>
      <c r="I301" s="5" t="s">
        <v>110</v>
      </c>
      <c r="J301" s="5" t="s">
        <v>0</v>
      </c>
      <c r="K301" s="5" t="s">
        <v>1</v>
      </c>
      <c r="L301" s="5" t="s">
        <v>2</v>
      </c>
      <c r="M301" s="5" t="s">
        <v>915</v>
      </c>
      <c r="N301" s="5" t="s">
        <v>528</v>
      </c>
      <c r="O301" s="5" t="s">
        <v>140</v>
      </c>
      <c r="P301" s="5" t="s">
        <v>9</v>
      </c>
      <c r="XFD301"/>
    </row>
    <row r="302" spans="1:16 16384:16384" s="5" customFormat="1">
      <c r="A302" s="5" t="str">
        <f t="shared" si="8"/>
        <v>RAS</v>
      </c>
      <c r="B302" s="5" t="str">
        <f t="shared" si="9"/>
        <v>RAS45374</v>
      </c>
      <c r="C302" s="5" t="str">
        <f>IF(ISNA(VLOOKUP(A302&amp;D302,VCEPReports,4,FALSE)),"",VLOOKUP(A302&amp;D302,VCEPReports,4,FALSE))</f>
        <v/>
      </c>
      <c r="D302" s="5">
        <v>45374</v>
      </c>
      <c r="E302" s="5" t="s">
        <v>65</v>
      </c>
      <c r="F302" s="6">
        <v>42843</v>
      </c>
      <c r="G302" s="5" t="s">
        <v>219</v>
      </c>
      <c r="H302" s="5" t="s">
        <v>109</v>
      </c>
      <c r="I302" s="5" t="s">
        <v>110</v>
      </c>
      <c r="J302" s="5" t="s">
        <v>0</v>
      </c>
      <c r="K302" s="5" t="s">
        <v>1</v>
      </c>
      <c r="L302" s="5" t="s">
        <v>2</v>
      </c>
      <c r="M302" s="5" t="s">
        <v>915</v>
      </c>
      <c r="N302" s="5" t="s">
        <v>529</v>
      </c>
      <c r="O302" s="5" t="s">
        <v>140</v>
      </c>
      <c r="P302" s="5" t="s">
        <v>9</v>
      </c>
      <c r="XFD302"/>
    </row>
    <row r="303" spans="1:16 16384:16384" s="5" customFormat="1">
      <c r="A303" s="5" t="str">
        <f t="shared" si="8"/>
        <v>RAS</v>
      </c>
      <c r="B303" s="5" t="str">
        <f t="shared" si="9"/>
        <v>RAS46223</v>
      </c>
      <c r="C303" s="5" t="str">
        <f>IF(ISNA(VLOOKUP(A303&amp;D303,VCEPReports,4,FALSE)),"",VLOOKUP(A303&amp;D303,VCEPReports,4,FALSE))</f>
        <v/>
      </c>
      <c r="D303" s="5">
        <v>46223</v>
      </c>
      <c r="E303" s="5" t="s">
        <v>212</v>
      </c>
      <c r="F303" s="6">
        <v>42864</v>
      </c>
      <c r="G303" s="5" t="s">
        <v>530</v>
      </c>
      <c r="H303" s="5" t="s">
        <v>109</v>
      </c>
      <c r="I303" s="5" t="s">
        <v>110</v>
      </c>
      <c r="J303" s="5" t="s">
        <v>0</v>
      </c>
      <c r="K303" s="5" t="s">
        <v>1</v>
      </c>
      <c r="L303" s="5" t="s">
        <v>2</v>
      </c>
      <c r="M303" s="5" t="s">
        <v>915</v>
      </c>
      <c r="N303" s="5" t="s">
        <v>531</v>
      </c>
      <c r="O303" s="5" t="s">
        <v>105</v>
      </c>
      <c r="P303" s="5" t="s">
        <v>9</v>
      </c>
      <c r="XFD303"/>
    </row>
    <row r="304" spans="1:16 16384:16384" s="5" customFormat="1">
      <c r="A304" s="5" t="str">
        <f t="shared" si="8"/>
        <v>RAS</v>
      </c>
      <c r="B304" s="5" t="str">
        <f t="shared" si="9"/>
        <v>RAS46226</v>
      </c>
      <c r="C304" s="5" t="str">
        <f>IF(ISNA(VLOOKUP(A304&amp;D304,VCEPReports,4,FALSE)),"",VLOOKUP(A304&amp;D304,VCEPReports,4,FALSE))</f>
        <v/>
      </c>
      <c r="D304" s="5">
        <v>46226</v>
      </c>
      <c r="E304" s="5" t="s">
        <v>65</v>
      </c>
      <c r="F304" s="6">
        <v>42864</v>
      </c>
      <c r="G304" s="5" t="s">
        <v>343</v>
      </c>
      <c r="H304" s="5" t="s">
        <v>109</v>
      </c>
      <c r="I304" s="5" t="s">
        <v>110</v>
      </c>
      <c r="J304" s="5" t="s">
        <v>0</v>
      </c>
      <c r="K304" s="5" t="s">
        <v>1</v>
      </c>
      <c r="L304" s="5" t="s">
        <v>2</v>
      </c>
      <c r="M304" s="5" t="s">
        <v>915</v>
      </c>
      <c r="N304" s="5" t="s">
        <v>532</v>
      </c>
      <c r="O304" s="5" t="s">
        <v>105</v>
      </c>
      <c r="P304" s="5" t="s">
        <v>9</v>
      </c>
      <c r="XFD304"/>
    </row>
    <row r="305" spans="1:16 16384:16384" s="5" customFormat="1">
      <c r="A305" s="5" t="str">
        <f t="shared" si="8"/>
        <v>RAS</v>
      </c>
      <c r="B305" s="5" t="str">
        <f t="shared" si="9"/>
        <v>RAS46228</v>
      </c>
      <c r="C305" s="5" t="str">
        <f>IF(ISNA(VLOOKUP(A305&amp;D305,VCEPReports,4,FALSE)),"",VLOOKUP(A305&amp;D305,VCEPReports,4,FALSE))</f>
        <v/>
      </c>
      <c r="D305" s="5">
        <v>46228</v>
      </c>
      <c r="E305" s="5" t="s">
        <v>65</v>
      </c>
      <c r="F305" s="6">
        <v>42864</v>
      </c>
      <c r="G305" s="5" t="s">
        <v>343</v>
      </c>
      <c r="H305" s="5" t="s">
        <v>109</v>
      </c>
      <c r="I305" s="5" t="s">
        <v>110</v>
      </c>
      <c r="J305" s="5" t="s">
        <v>0</v>
      </c>
      <c r="K305" s="5" t="s">
        <v>1</v>
      </c>
      <c r="L305" s="5" t="s">
        <v>2</v>
      </c>
      <c r="M305" s="5" t="s">
        <v>915</v>
      </c>
      <c r="N305" s="5" t="s">
        <v>533</v>
      </c>
      <c r="O305" s="5" t="s">
        <v>105</v>
      </c>
      <c r="P305" s="5" t="s">
        <v>9</v>
      </c>
      <c r="XFD305"/>
    </row>
    <row r="306" spans="1:16 16384:16384" s="5" customFormat="1">
      <c r="A306" s="5" t="str">
        <f t="shared" si="8"/>
        <v>RAS</v>
      </c>
      <c r="B306" s="5" t="str">
        <f t="shared" si="9"/>
        <v>RAS46235</v>
      </c>
      <c r="C306" s="5" t="str">
        <f>IF(ISNA(VLOOKUP(A306&amp;D306,VCEPReports,4,FALSE)),"",VLOOKUP(A306&amp;D306,VCEPReports,4,FALSE))</f>
        <v/>
      </c>
      <c r="D306" s="5">
        <v>46235</v>
      </c>
      <c r="E306" s="5" t="s">
        <v>65</v>
      </c>
      <c r="F306" s="6">
        <v>42864</v>
      </c>
      <c r="G306" s="5" t="s">
        <v>343</v>
      </c>
      <c r="H306" s="5" t="s">
        <v>109</v>
      </c>
      <c r="I306" s="5" t="s">
        <v>110</v>
      </c>
      <c r="J306" s="5" t="s">
        <v>0</v>
      </c>
      <c r="K306" s="5" t="s">
        <v>1</v>
      </c>
      <c r="L306" s="5" t="s">
        <v>2</v>
      </c>
      <c r="M306" s="5" t="s">
        <v>915</v>
      </c>
      <c r="N306" s="5" t="s">
        <v>534</v>
      </c>
      <c r="O306" s="5" t="s">
        <v>105</v>
      </c>
      <c r="P306" s="5" t="s">
        <v>9</v>
      </c>
      <c r="XFD306"/>
    </row>
    <row r="307" spans="1:16 16384:16384" s="5" customFormat="1">
      <c r="A307" s="5" t="str">
        <f t="shared" si="8"/>
        <v>RAS</v>
      </c>
      <c r="B307" s="5" t="str">
        <f t="shared" si="9"/>
        <v>RAS46237</v>
      </c>
      <c r="C307" s="5" t="str">
        <f>IF(ISNA(VLOOKUP(A307&amp;D307,VCEPReports,4,FALSE)),"",VLOOKUP(A307&amp;D307,VCEPReports,4,FALSE))</f>
        <v/>
      </c>
      <c r="D307" s="5">
        <v>46237</v>
      </c>
      <c r="E307" s="5" t="s">
        <v>65</v>
      </c>
      <c r="F307" s="6">
        <v>42864</v>
      </c>
      <c r="G307" s="5" t="s">
        <v>343</v>
      </c>
      <c r="H307" s="5" t="s">
        <v>109</v>
      </c>
      <c r="I307" s="5" t="s">
        <v>110</v>
      </c>
      <c r="J307" s="5" t="s">
        <v>0</v>
      </c>
      <c r="K307" s="5" t="s">
        <v>1</v>
      </c>
      <c r="L307" s="5" t="s">
        <v>2</v>
      </c>
      <c r="M307" s="5" t="s">
        <v>915</v>
      </c>
      <c r="N307" s="5" t="s">
        <v>535</v>
      </c>
      <c r="O307" s="5" t="s">
        <v>105</v>
      </c>
      <c r="P307" s="5" t="s">
        <v>9</v>
      </c>
      <c r="XFD307"/>
    </row>
    <row r="308" spans="1:16 16384:16384" s="5" customFormat="1">
      <c r="A308" s="5" t="str">
        <f t="shared" si="8"/>
        <v>RAS</v>
      </c>
      <c r="B308" s="5" t="str">
        <f t="shared" si="9"/>
        <v>RAS46239</v>
      </c>
      <c r="C308" s="5" t="str">
        <f>IF(ISNA(VLOOKUP(A308&amp;D308,VCEPReports,4,FALSE)),"",VLOOKUP(A308&amp;D308,VCEPReports,4,FALSE))</f>
        <v/>
      </c>
      <c r="D308" s="5">
        <v>46239</v>
      </c>
      <c r="E308" s="5" t="s">
        <v>65</v>
      </c>
      <c r="F308" s="6">
        <v>42864</v>
      </c>
      <c r="G308" s="5" t="s">
        <v>343</v>
      </c>
      <c r="H308" s="5" t="s">
        <v>109</v>
      </c>
      <c r="I308" s="5" t="s">
        <v>110</v>
      </c>
      <c r="J308" s="5" t="s">
        <v>0</v>
      </c>
      <c r="K308" s="5" t="s">
        <v>1</v>
      </c>
      <c r="L308" s="5" t="s">
        <v>2</v>
      </c>
      <c r="M308" s="5" t="s">
        <v>915</v>
      </c>
      <c r="N308" s="5" t="s">
        <v>536</v>
      </c>
      <c r="O308" s="5" t="s">
        <v>105</v>
      </c>
      <c r="P308" s="5" t="s">
        <v>9</v>
      </c>
      <c r="XFD308"/>
    </row>
    <row r="309" spans="1:16 16384:16384" s="5" customFormat="1">
      <c r="A309" s="5" t="str">
        <f t="shared" si="8"/>
        <v>RAS</v>
      </c>
      <c r="B309" s="5" t="str">
        <f t="shared" si="9"/>
        <v>RAS46242</v>
      </c>
      <c r="C309" s="5" t="str">
        <f>IF(ISNA(VLOOKUP(A309&amp;D309,VCEPReports,4,FALSE)),"",VLOOKUP(A309&amp;D309,VCEPReports,4,FALSE))</f>
        <v/>
      </c>
      <c r="D309" s="5">
        <v>46242</v>
      </c>
      <c r="E309" s="5" t="s">
        <v>86</v>
      </c>
      <c r="F309" s="6">
        <v>42864</v>
      </c>
      <c r="G309" s="5" t="s">
        <v>537</v>
      </c>
      <c r="H309" s="5" t="s">
        <v>109</v>
      </c>
      <c r="I309" s="5" t="s">
        <v>110</v>
      </c>
      <c r="J309" s="5" t="s">
        <v>0</v>
      </c>
      <c r="K309" s="5" t="s">
        <v>1</v>
      </c>
      <c r="L309" s="5" t="s">
        <v>2</v>
      </c>
      <c r="M309" s="5" t="s">
        <v>915</v>
      </c>
      <c r="N309" s="5" t="s">
        <v>538</v>
      </c>
      <c r="O309" s="5" t="s">
        <v>105</v>
      </c>
      <c r="P309" s="5" t="s">
        <v>9</v>
      </c>
      <c r="XFD309"/>
    </row>
    <row r="310" spans="1:16 16384:16384" s="5" customFormat="1">
      <c r="A310" s="5" t="str">
        <f t="shared" si="8"/>
        <v>HL</v>
      </c>
      <c r="B310" s="5" t="str">
        <f t="shared" si="9"/>
        <v>HL48347</v>
      </c>
      <c r="C310" s="5" t="str">
        <f>IF(ISNA(VLOOKUP(A310&amp;D310,VCEPReports,4,FALSE)),"",VLOOKUP(A310&amp;D310,VCEPReports,4,FALSE))</f>
        <v/>
      </c>
      <c r="D310" s="5">
        <v>48347</v>
      </c>
      <c r="E310" s="5" t="s">
        <v>3</v>
      </c>
      <c r="F310" s="6">
        <v>43357</v>
      </c>
      <c r="G310" s="5" t="s">
        <v>539</v>
      </c>
      <c r="H310" s="5" t="s">
        <v>67</v>
      </c>
      <c r="I310" s="5" t="s">
        <v>68</v>
      </c>
      <c r="J310" s="5" t="s">
        <v>0</v>
      </c>
      <c r="K310" s="5" t="s">
        <v>1</v>
      </c>
      <c r="L310" s="5" t="s">
        <v>2</v>
      </c>
      <c r="M310" s="5" t="s">
        <v>914</v>
      </c>
      <c r="N310" s="5" t="s">
        <v>540</v>
      </c>
      <c r="O310" s="5" t="s">
        <v>70</v>
      </c>
      <c r="P310" s="5" t="s">
        <v>9</v>
      </c>
      <c r="XFD310"/>
    </row>
    <row r="311" spans="1:16 16384:16384" s="5" customFormat="1">
      <c r="A311" s="5" t="str">
        <f t="shared" si="8"/>
        <v>HL</v>
      </c>
      <c r="B311" s="5" t="str">
        <f t="shared" si="9"/>
        <v>HL48459</v>
      </c>
      <c r="C311" s="5" t="str">
        <f>IF(ISNA(VLOOKUP(A311&amp;D311,VCEPReports,4,FALSE)),"",VLOOKUP(A311&amp;D311,VCEPReports,4,FALSE))</f>
        <v/>
      </c>
      <c r="D311" s="5">
        <v>48459</v>
      </c>
      <c r="E311" s="5" t="s">
        <v>65</v>
      </c>
      <c r="F311" s="6">
        <v>43357</v>
      </c>
      <c r="G311" s="5" t="s">
        <v>541</v>
      </c>
      <c r="H311" s="5" t="s">
        <v>67</v>
      </c>
      <c r="I311" s="5" t="s">
        <v>68</v>
      </c>
      <c r="J311" s="5" t="s">
        <v>0</v>
      </c>
      <c r="K311" s="5" t="s">
        <v>1</v>
      </c>
      <c r="L311" s="5" t="s">
        <v>2</v>
      </c>
      <c r="M311" s="5" t="s">
        <v>914</v>
      </c>
      <c r="N311" s="5" t="s">
        <v>542</v>
      </c>
      <c r="O311" s="5" t="s">
        <v>70</v>
      </c>
      <c r="P311" s="5" t="s">
        <v>9</v>
      </c>
      <c r="XFD311"/>
    </row>
    <row r="312" spans="1:16 16384:16384" s="5" customFormat="1">
      <c r="A312" s="5" t="str">
        <f t="shared" si="8"/>
        <v>HL</v>
      </c>
      <c r="B312" s="5" t="str">
        <f t="shared" si="9"/>
        <v>HL48468</v>
      </c>
      <c r="C312" s="5" t="str">
        <f>IF(ISNA(VLOOKUP(A312&amp;D312,VCEPReports,4,FALSE)),"",VLOOKUP(A312&amp;D312,VCEPReports,4,FALSE))</f>
        <v/>
      </c>
      <c r="D312" s="5">
        <v>48468</v>
      </c>
      <c r="E312" s="5" t="s">
        <v>65</v>
      </c>
      <c r="F312" s="6">
        <v>43360</v>
      </c>
      <c r="G312" s="5" t="s">
        <v>543</v>
      </c>
      <c r="H312" s="5" t="s">
        <v>67</v>
      </c>
      <c r="I312" s="5" t="s">
        <v>68</v>
      </c>
      <c r="J312" s="5" t="s">
        <v>0</v>
      </c>
      <c r="K312" s="5" t="s">
        <v>1</v>
      </c>
      <c r="L312" s="5" t="s">
        <v>2</v>
      </c>
      <c r="M312" s="5" t="s">
        <v>914</v>
      </c>
      <c r="N312" s="5" t="s">
        <v>544</v>
      </c>
      <c r="O312" s="5" t="s">
        <v>70</v>
      </c>
      <c r="P312" s="5" t="s">
        <v>9</v>
      </c>
      <c r="XFD312"/>
    </row>
    <row r="313" spans="1:16 16384:16384" s="5" customFormat="1">
      <c r="A313" s="5" t="str">
        <f t="shared" si="8"/>
        <v>HL</v>
      </c>
      <c r="B313" s="5" t="str">
        <f t="shared" si="9"/>
        <v>HL48535</v>
      </c>
      <c r="C313" s="5" t="str">
        <f>IF(ISNA(VLOOKUP(A313&amp;D313,VCEPReports,4,FALSE)),"",VLOOKUP(A313&amp;D313,VCEPReports,4,FALSE))</f>
        <v/>
      </c>
      <c r="D313" s="5">
        <v>48535</v>
      </c>
      <c r="E313" s="5" t="s">
        <v>3</v>
      </c>
      <c r="F313" s="6">
        <v>43357</v>
      </c>
      <c r="G313" s="5" t="s">
        <v>545</v>
      </c>
      <c r="H313" s="5" t="s">
        <v>67</v>
      </c>
      <c r="I313" s="5" t="s">
        <v>68</v>
      </c>
      <c r="J313" s="5" t="s">
        <v>0</v>
      </c>
      <c r="K313" s="5" t="s">
        <v>1</v>
      </c>
      <c r="L313" s="5" t="s">
        <v>2</v>
      </c>
      <c r="M313" s="5" t="s">
        <v>914</v>
      </c>
      <c r="N313" s="5" t="s">
        <v>546</v>
      </c>
      <c r="O313" s="5" t="s">
        <v>70</v>
      </c>
      <c r="P313" s="5" t="s">
        <v>9</v>
      </c>
      <c r="XFD313"/>
    </row>
    <row r="314" spans="1:16 16384:16384" s="5" customFormat="1">
      <c r="A314" s="5" t="str">
        <f t="shared" si="8"/>
        <v>HL</v>
      </c>
      <c r="B314" s="5" t="str">
        <f t="shared" si="9"/>
        <v>HL48604</v>
      </c>
      <c r="C314" s="5" t="str">
        <f>IF(ISNA(VLOOKUP(A314&amp;D314,VCEPReports,4,FALSE)),"",VLOOKUP(A314&amp;D314,VCEPReports,4,FALSE))</f>
        <v/>
      </c>
      <c r="D314" s="5">
        <v>48604</v>
      </c>
      <c r="E314" s="5" t="s">
        <v>3</v>
      </c>
      <c r="F314" s="6">
        <v>43360</v>
      </c>
      <c r="G314" s="5" t="s">
        <v>547</v>
      </c>
      <c r="H314" s="5" t="s">
        <v>67</v>
      </c>
      <c r="I314" s="5" t="s">
        <v>68</v>
      </c>
      <c r="J314" s="5" t="s">
        <v>0</v>
      </c>
      <c r="K314" s="5" t="s">
        <v>1</v>
      </c>
      <c r="L314" s="5" t="s">
        <v>2</v>
      </c>
      <c r="M314" s="5" t="s">
        <v>914</v>
      </c>
      <c r="N314" s="5" t="s">
        <v>548</v>
      </c>
      <c r="O314" s="5" t="s">
        <v>70</v>
      </c>
      <c r="P314" s="5" t="s">
        <v>9</v>
      </c>
      <c r="XFD314"/>
    </row>
    <row r="315" spans="1:16 16384:16384" s="5" customFormat="1">
      <c r="A315" s="5" t="str">
        <f t="shared" si="8"/>
        <v>RAS</v>
      </c>
      <c r="B315" s="5" t="str">
        <f t="shared" si="9"/>
        <v>RAS50938</v>
      </c>
      <c r="C315" s="5" t="str">
        <f>IF(ISNA(VLOOKUP(A315&amp;D315,VCEPReports,4,FALSE)),"",VLOOKUP(A315&amp;D315,VCEPReports,4,FALSE))</f>
        <v/>
      </c>
      <c r="D315" s="5">
        <v>50938</v>
      </c>
      <c r="E315" s="5" t="s">
        <v>212</v>
      </c>
      <c r="F315" s="6">
        <v>42864</v>
      </c>
      <c r="G315" s="5" t="s">
        <v>364</v>
      </c>
      <c r="H315" s="5" t="s">
        <v>109</v>
      </c>
      <c r="I315" s="5" t="s">
        <v>110</v>
      </c>
      <c r="J315" s="5" t="s">
        <v>0</v>
      </c>
      <c r="K315" s="5" t="s">
        <v>1</v>
      </c>
      <c r="L315" s="5" t="s">
        <v>2</v>
      </c>
      <c r="M315" s="5" t="s">
        <v>915</v>
      </c>
      <c r="N315" s="5" t="s">
        <v>549</v>
      </c>
      <c r="O315" s="5" t="s">
        <v>105</v>
      </c>
      <c r="P315" s="5" t="s">
        <v>9</v>
      </c>
      <c r="XFD315"/>
    </row>
    <row r="316" spans="1:16 16384:16384" s="5" customFormat="1">
      <c r="A316" s="5" t="str">
        <f t="shared" si="8"/>
        <v>PAH</v>
      </c>
      <c r="B316" s="5" t="str">
        <f t="shared" si="9"/>
        <v>PAH92729</v>
      </c>
      <c r="C316" s="5" t="str">
        <f>IF(ISNA(VLOOKUP(A316&amp;D316,VCEPReports,4,FALSE)),"",VLOOKUP(A316&amp;D316,VCEPReports,4,FALSE))</f>
        <v/>
      </c>
      <c r="D316" s="5">
        <v>92729</v>
      </c>
      <c r="E316" s="5" t="s">
        <v>3</v>
      </c>
      <c r="F316" s="6">
        <v>43325</v>
      </c>
      <c r="G316" s="5" t="s">
        <v>550</v>
      </c>
      <c r="H316" s="5" t="s">
        <v>5</v>
      </c>
      <c r="I316" s="5" t="s">
        <v>6</v>
      </c>
      <c r="J316" s="5" t="s">
        <v>0</v>
      </c>
      <c r="K316" s="5" t="s">
        <v>1</v>
      </c>
      <c r="L316" s="5" t="s">
        <v>2</v>
      </c>
      <c r="M316" s="5" t="s">
        <v>913</v>
      </c>
      <c r="N316" s="5" t="s">
        <v>551</v>
      </c>
      <c r="O316" s="5" t="s">
        <v>8</v>
      </c>
      <c r="P316" s="5" t="s">
        <v>9</v>
      </c>
      <c r="XFD316"/>
    </row>
    <row r="317" spans="1:16 16384:16384" s="5" customFormat="1">
      <c r="A317" s="5" t="str">
        <f t="shared" si="8"/>
        <v>PAH</v>
      </c>
      <c r="B317" s="5" t="str">
        <f t="shared" si="9"/>
        <v>PAH92731</v>
      </c>
      <c r="C317" s="5" t="str">
        <f>IF(ISNA(VLOOKUP(A317&amp;D317,VCEPReports,4,FALSE)),"",VLOOKUP(A317&amp;D317,VCEPReports,4,FALSE))</f>
        <v/>
      </c>
      <c r="D317" s="5">
        <v>92731</v>
      </c>
      <c r="E317" s="5" t="s">
        <v>3</v>
      </c>
      <c r="F317" s="6">
        <v>43322</v>
      </c>
      <c r="G317" s="5" t="s">
        <v>552</v>
      </c>
      <c r="H317" s="5" t="s">
        <v>5</v>
      </c>
      <c r="I317" s="5" t="s">
        <v>6</v>
      </c>
      <c r="J317" s="5" t="s">
        <v>0</v>
      </c>
      <c r="K317" s="5" t="s">
        <v>1</v>
      </c>
      <c r="L317" s="5" t="s">
        <v>2</v>
      </c>
      <c r="M317" s="5" t="s">
        <v>913</v>
      </c>
      <c r="N317" s="5" t="s">
        <v>553</v>
      </c>
      <c r="O317" s="5" t="s">
        <v>8</v>
      </c>
      <c r="P317" s="5" t="s">
        <v>9</v>
      </c>
      <c r="XFD317"/>
    </row>
    <row r="318" spans="1:16 16384:16384" s="5" customFormat="1">
      <c r="A318" s="5" t="str">
        <f t="shared" si="8"/>
        <v>PAH</v>
      </c>
      <c r="B318" s="5" t="str">
        <f t="shared" si="9"/>
        <v>PAH92732</v>
      </c>
      <c r="C318" s="5" t="str">
        <f>IF(ISNA(VLOOKUP(A318&amp;D318,VCEPReports,4,FALSE)),"",VLOOKUP(A318&amp;D318,VCEPReports,4,FALSE))</f>
        <v/>
      </c>
      <c r="D318" s="5">
        <v>92732</v>
      </c>
      <c r="E318" s="5" t="s">
        <v>65</v>
      </c>
      <c r="F318" s="6">
        <v>43322</v>
      </c>
      <c r="G318" s="5" t="s">
        <v>554</v>
      </c>
      <c r="H318" s="5" t="s">
        <v>5</v>
      </c>
      <c r="I318" s="5" t="s">
        <v>6</v>
      </c>
      <c r="J318" s="5" t="s">
        <v>0</v>
      </c>
      <c r="K318" s="5" t="s">
        <v>1</v>
      </c>
      <c r="L318" s="5" t="s">
        <v>2</v>
      </c>
      <c r="M318" s="5" t="s">
        <v>913</v>
      </c>
      <c r="N318" s="5" t="s">
        <v>555</v>
      </c>
      <c r="O318" s="5" t="s">
        <v>8</v>
      </c>
      <c r="P318" s="5" t="s">
        <v>9</v>
      </c>
      <c r="XFD318"/>
    </row>
    <row r="319" spans="1:16 16384:16384" s="5" customFormat="1">
      <c r="A319" s="5" t="str">
        <f t="shared" si="8"/>
        <v>PAH</v>
      </c>
      <c r="B319" s="5" t="str">
        <f t="shared" si="9"/>
        <v>PAH92736</v>
      </c>
      <c r="C319" s="5" t="str">
        <f>IF(ISNA(VLOOKUP(A319&amp;D319,VCEPReports,4,FALSE)),"",VLOOKUP(A319&amp;D319,VCEPReports,4,FALSE))</f>
        <v/>
      </c>
      <c r="D319" s="5">
        <v>92736</v>
      </c>
      <c r="E319" s="5" t="s">
        <v>65</v>
      </c>
      <c r="F319" s="6">
        <v>43322</v>
      </c>
      <c r="G319" s="5" t="s">
        <v>556</v>
      </c>
      <c r="H319" s="5" t="s">
        <v>5</v>
      </c>
      <c r="I319" s="5" t="s">
        <v>6</v>
      </c>
      <c r="J319" s="5" t="s">
        <v>0</v>
      </c>
      <c r="K319" s="5" t="s">
        <v>1</v>
      </c>
      <c r="L319" s="5" t="s">
        <v>2</v>
      </c>
      <c r="M319" s="5" t="s">
        <v>913</v>
      </c>
      <c r="N319" s="5" t="s">
        <v>557</v>
      </c>
      <c r="O319" s="5" t="s">
        <v>8</v>
      </c>
      <c r="P319" s="5" t="s">
        <v>9</v>
      </c>
      <c r="XFD319"/>
    </row>
    <row r="320" spans="1:16 16384:16384" s="5" customFormat="1">
      <c r="A320" s="5" t="str">
        <f t="shared" si="8"/>
        <v>PAH</v>
      </c>
      <c r="B320" s="5" t="str">
        <f t="shared" si="9"/>
        <v>PAH92737</v>
      </c>
      <c r="C320" s="5" t="str">
        <f>IF(ISNA(VLOOKUP(A320&amp;D320,VCEPReports,4,FALSE)),"",VLOOKUP(A320&amp;D320,VCEPReports,4,FALSE))</f>
        <v/>
      </c>
      <c r="D320" s="5">
        <v>92737</v>
      </c>
      <c r="E320" s="5" t="s">
        <v>24</v>
      </c>
      <c r="F320" s="6">
        <v>43322</v>
      </c>
      <c r="G320" s="5" t="s">
        <v>558</v>
      </c>
      <c r="H320" s="5" t="s">
        <v>5</v>
      </c>
      <c r="I320" s="5" t="s">
        <v>6</v>
      </c>
      <c r="J320" s="5" t="s">
        <v>0</v>
      </c>
      <c r="K320" s="5" t="s">
        <v>1</v>
      </c>
      <c r="L320" s="5" t="s">
        <v>2</v>
      </c>
      <c r="M320" s="5" t="s">
        <v>913</v>
      </c>
      <c r="N320" s="5" t="s">
        <v>559</v>
      </c>
      <c r="O320" s="5" t="s">
        <v>8</v>
      </c>
      <c r="P320" s="5" t="s">
        <v>9</v>
      </c>
      <c r="XFD320"/>
    </row>
    <row r="321" spans="1:16 16384:16384" s="5" customFormat="1">
      <c r="A321" s="5" t="str">
        <f t="shared" si="8"/>
        <v>PAH</v>
      </c>
      <c r="B321" s="5" t="str">
        <f t="shared" si="9"/>
        <v>PAH92740</v>
      </c>
      <c r="C321" s="5" t="str">
        <f>IF(ISNA(VLOOKUP(A321&amp;D321,VCEPReports,4,FALSE)),"",VLOOKUP(A321&amp;D321,VCEPReports,4,FALSE))</f>
        <v/>
      </c>
      <c r="D321" s="5">
        <v>92740</v>
      </c>
      <c r="E321" s="5" t="s">
        <v>86</v>
      </c>
      <c r="F321" s="6">
        <v>43322</v>
      </c>
      <c r="G321" s="5" t="s">
        <v>560</v>
      </c>
      <c r="H321" s="5" t="s">
        <v>5</v>
      </c>
      <c r="I321" s="5" t="s">
        <v>6</v>
      </c>
      <c r="J321" s="5" t="s">
        <v>0</v>
      </c>
      <c r="K321" s="5" t="s">
        <v>1</v>
      </c>
      <c r="L321" s="5" t="s">
        <v>2</v>
      </c>
      <c r="M321" s="5" t="s">
        <v>913</v>
      </c>
      <c r="N321" s="5" t="s">
        <v>561</v>
      </c>
      <c r="O321" s="5" t="s">
        <v>8</v>
      </c>
      <c r="P321" s="5" t="s">
        <v>9</v>
      </c>
      <c r="XFD321"/>
    </row>
    <row r="322" spans="1:16 16384:16384" s="5" customFormat="1">
      <c r="A322" s="5" t="str">
        <f t="shared" ref="A322:A385" si="10">VLOOKUP(M322,VCEPs,2,FALSE)</f>
        <v>PAH</v>
      </c>
      <c r="B322" s="5" t="str">
        <f t="shared" si="9"/>
        <v>PAH92741</v>
      </c>
      <c r="C322" s="5" t="str">
        <f>IF(ISNA(VLOOKUP(A322&amp;D322,VCEPReports,4,FALSE)),"",VLOOKUP(A322&amp;D322,VCEPReports,4,FALSE))</f>
        <v/>
      </c>
      <c r="D322" s="5">
        <v>92741</v>
      </c>
      <c r="E322" s="5" t="s">
        <v>24</v>
      </c>
      <c r="F322" s="6">
        <v>43310</v>
      </c>
      <c r="G322" s="5" t="s">
        <v>562</v>
      </c>
      <c r="H322" s="5" t="s">
        <v>5</v>
      </c>
      <c r="I322" s="5" t="s">
        <v>6</v>
      </c>
      <c r="J322" s="5" t="s">
        <v>0</v>
      </c>
      <c r="K322" s="5" t="s">
        <v>1</v>
      </c>
      <c r="L322" s="5" t="s">
        <v>2</v>
      </c>
      <c r="M322" s="5" t="s">
        <v>913</v>
      </c>
      <c r="N322" s="5" t="s">
        <v>563</v>
      </c>
      <c r="O322" s="5" t="s">
        <v>8</v>
      </c>
      <c r="P322" s="5" t="s">
        <v>9</v>
      </c>
      <c r="XFD322"/>
    </row>
    <row r="323" spans="1:16 16384:16384" s="5" customFormat="1">
      <c r="A323" s="5" t="str">
        <f t="shared" si="10"/>
        <v>PAH</v>
      </c>
      <c r="B323" s="5" t="str">
        <f t="shared" ref="B323:B386" si="11">CONCATENATE(A323,D323)</f>
        <v>PAH92742</v>
      </c>
      <c r="C323" s="5" t="str">
        <f>IF(ISNA(VLOOKUP(A323&amp;D323,VCEPReports,4,FALSE)),"",VLOOKUP(A323&amp;D323,VCEPReports,4,FALSE))</f>
        <v/>
      </c>
      <c r="D323" s="5">
        <v>92742</v>
      </c>
      <c r="E323" s="5" t="s">
        <v>3</v>
      </c>
      <c r="F323" s="6">
        <v>43244</v>
      </c>
      <c r="G323" s="5" t="s">
        <v>564</v>
      </c>
      <c r="H323" s="5" t="s">
        <v>5</v>
      </c>
      <c r="I323" s="5" t="s">
        <v>6</v>
      </c>
      <c r="J323" s="5" t="s">
        <v>0</v>
      </c>
      <c r="K323" s="5" t="s">
        <v>1</v>
      </c>
      <c r="L323" s="5" t="s">
        <v>2</v>
      </c>
      <c r="M323" s="5" t="s">
        <v>913</v>
      </c>
      <c r="N323" s="5" t="s">
        <v>565</v>
      </c>
      <c r="O323" s="5" t="s">
        <v>8</v>
      </c>
      <c r="P323" s="5" t="s">
        <v>9</v>
      </c>
      <c r="XFD323"/>
    </row>
    <row r="324" spans="1:16 16384:16384" s="5" customFormat="1">
      <c r="A324" s="5" t="str">
        <f t="shared" si="10"/>
        <v>PAH</v>
      </c>
      <c r="B324" s="5" t="str">
        <f t="shared" si="11"/>
        <v>PAH92743</v>
      </c>
      <c r="C324" s="5" t="str">
        <f>IF(ISNA(VLOOKUP(A324&amp;D324,VCEPReports,4,FALSE)),"",VLOOKUP(A324&amp;D324,VCEPReports,4,FALSE))</f>
        <v/>
      </c>
      <c r="D324" s="5">
        <v>92743</v>
      </c>
      <c r="E324" s="5" t="s">
        <v>24</v>
      </c>
      <c r="F324" s="6">
        <v>43340</v>
      </c>
      <c r="G324" s="5" t="s">
        <v>566</v>
      </c>
      <c r="H324" s="5" t="s">
        <v>5</v>
      </c>
      <c r="I324" s="5" t="s">
        <v>6</v>
      </c>
      <c r="J324" s="5" t="s">
        <v>0</v>
      </c>
      <c r="K324" s="5" t="s">
        <v>1</v>
      </c>
      <c r="L324" s="5" t="s">
        <v>2</v>
      </c>
      <c r="M324" s="5" t="s">
        <v>913</v>
      </c>
      <c r="N324" s="5" t="s">
        <v>567</v>
      </c>
      <c r="O324" s="5" t="s">
        <v>8</v>
      </c>
      <c r="P324" s="5" t="s">
        <v>9</v>
      </c>
      <c r="XFD324"/>
    </row>
    <row r="325" spans="1:16 16384:16384" s="5" customFormat="1">
      <c r="A325" s="5" t="str">
        <f t="shared" si="10"/>
        <v>PAH</v>
      </c>
      <c r="B325" s="5" t="str">
        <f t="shared" si="11"/>
        <v>PAH92744</v>
      </c>
      <c r="C325" s="5" t="str">
        <f>IF(ISNA(VLOOKUP(A325&amp;D325,VCEPReports,4,FALSE)),"",VLOOKUP(A325&amp;D325,VCEPReports,4,FALSE))</f>
        <v/>
      </c>
      <c r="D325" s="5">
        <v>92744</v>
      </c>
      <c r="E325" s="5" t="s">
        <v>3</v>
      </c>
      <c r="F325" s="6">
        <v>43309</v>
      </c>
      <c r="G325" s="5" t="s">
        <v>568</v>
      </c>
      <c r="H325" s="5" t="s">
        <v>5</v>
      </c>
      <c r="I325" s="5" t="s">
        <v>6</v>
      </c>
      <c r="J325" s="5" t="s">
        <v>0</v>
      </c>
      <c r="K325" s="5" t="s">
        <v>1</v>
      </c>
      <c r="L325" s="5" t="s">
        <v>2</v>
      </c>
      <c r="M325" s="5" t="s">
        <v>913</v>
      </c>
      <c r="N325" s="5" t="s">
        <v>569</v>
      </c>
      <c r="O325" s="5" t="s">
        <v>8</v>
      </c>
      <c r="P325" s="5" t="s">
        <v>9</v>
      </c>
      <c r="XFD325"/>
    </row>
    <row r="326" spans="1:16 16384:16384" s="5" customFormat="1">
      <c r="A326" s="5" t="str">
        <f t="shared" si="10"/>
        <v>PAH</v>
      </c>
      <c r="B326" s="5" t="str">
        <f t="shared" si="11"/>
        <v>PAH92746</v>
      </c>
      <c r="C326" s="5" t="str">
        <f>IF(ISNA(VLOOKUP(A326&amp;D326,VCEPReports,4,FALSE)),"",VLOOKUP(A326&amp;D326,VCEPReports,4,FALSE))</f>
        <v/>
      </c>
      <c r="D326" s="5">
        <v>92746</v>
      </c>
      <c r="E326" s="5" t="s">
        <v>3</v>
      </c>
      <c r="F326" s="6">
        <v>43322</v>
      </c>
      <c r="G326" s="5" t="s">
        <v>570</v>
      </c>
      <c r="H326" s="5" t="s">
        <v>5</v>
      </c>
      <c r="I326" s="5" t="s">
        <v>6</v>
      </c>
      <c r="J326" s="5" t="s">
        <v>0</v>
      </c>
      <c r="K326" s="5" t="s">
        <v>1</v>
      </c>
      <c r="L326" s="5" t="s">
        <v>2</v>
      </c>
      <c r="M326" s="5" t="s">
        <v>913</v>
      </c>
      <c r="N326" s="5" t="s">
        <v>571</v>
      </c>
      <c r="O326" s="5" t="s">
        <v>8</v>
      </c>
      <c r="P326" s="5" t="s">
        <v>9</v>
      </c>
      <c r="XFD326"/>
    </row>
    <row r="327" spans="1:16 16384:16384" s="5" customFormat="1">
      <c r="A327" s="5" t="str">
        <f t="shared" si="10"/>
        <v>PAH</v>
      </c>
      <c r="B327" s="5" t="str">
        <f t="shared" si="11"/>
        <v>PAH92747</v>
      </c>
      <c r="C327" s="5" t="str">
        <f>IF(ISNA(VLOOKUP(A327&amp;D327,VCEPReports,4,FALSE)),"",VLOOKUP(A327&amp;D327,VCEPReports,4,FALSE))</f>
        <v/>
      </c>
      <c r="D327" s="5">
        <v>92747</v>
      </c>
      <c r="E327" s="5" t="s">
        <v>3</v>
      </c>
      <c r="F327" s="6">
        <v>43374</v>
      </c>
      <c r="G327" s="5" t="s">
        <v>572</v>
      </c>
      <c r="H327" s="5" t="s">
        <v>5</v>
      </c>
      <c r="I327" s="5" t="s">
        <v>6</v>
      </c>
      <c r="J327" s="5" t="s">
        <v>0</v>
      </c>
      <c r="K327" s="5" t="s">
        <v>1</v>
      </c>
      <c r="L327" s="5" t="s">
        <v>2</v>
      </c>
      <c r="M327" s="5" t="s">
        <v>913</v>
      </c>
      <c r="N327" s="5" t="s">
        <v>573</v>
      </c>
      <c r="O327" s="5" t="s">
        <v>8</v>
      </c>
      <c r="P327" s="5" t="s">
        <v>9</v>
      </c>
      <c r="XFD327"/>
    </row>
    <row r="328" spans="1:16 16384:16384" s="5" customFormat="1">
      <c r="A328" s="5" t="str">
        <f t="shared" si="10"/>
        <v>PAH</v>
      </c>
      <c r="B328" s="5" t="str">
        <f t="shared" si="11"/>
        <v>PAH92748</v>
      </c>
      <c r="C328" s="5" t="str">
        <f>IF(ISNA(VLOOKUP(A328&amp;D328,VCEPReports,4,FALSE)),"",VLOOKUP(A328&amp;D328,VCEPReports,4,FALSE))</f>
        <v/>
      </c>
      <c r="D328" s="5">
        <v>92748</v>
      </c>
      <c r="E328" s="5" t="s">
        <v>65</v>
      </c>
      <c r="F328" s="6">
        <v>43214</v>
      </c>
      <c r="G328" s="5" t="s">
        <v>574</v>
      </c>
      <c r="H328" s="5" t="s">
        <v>5</v>
      </c>
      <c r="I328" s="5" t="s">
        <v>6</v>
      </c>
      <c r="J328" s="5" t="s">
        <v>0</v>
      </c>
      <c r="K328" s="5" t="s">
        <v>1</v>
      </c>
      <c r="L328" s="5" t="s">
        <v>2</v>
      </c>
      <c r="M328" s="5" t="s">
        <v>913</v>
      </c>
      <c r="N328" s="5" t="s">
        <v>575</v>
      </c>
      <c r="O328" s="5" t="s">
        <v>8</v>
      </c>
      <c r="P328" s="5" t="s">
        <v>9</v>
      </c>
      <c r="XFD328"/>
    </row>
    <row r="329" spans="1:16 16384:16384" s="5" customFormat="1">
      <c r="A329" s="5" t="str">
        <f t="shared" si="10"/>
        <v>PAH</v>
      </c>
      <c r="B329" s="5" t="str">
        <f t="shared" si="11"/>
        <v>PAH92749</v>
      </c>
      <c r="C329" s="5" t="str">
        <f>IF(ISNA(VLOOKUP(A329&amp;D329,VCEPReports,4,FALSE)),"",VLOOKUP(A329&amp;D329,VCEPReports,4,FALSE))</f>
        <v/>
      </c>
      <c r="D329" s="5">
        <v>92749</v>
      </c>
      <c r="E329" s="5" t="s">
        <v>24</v>
      </c>
      <c r="F329" s="6">
        <v>43322</v>
      </c>
      <c r="G329" s="5" t="s">
        <v>576</v>
      </c>
      <c r="H329" s="5" t="s">
        <v>5</v>
      </c>
      <c r="I329" s="5" t="s">
        <v>6</v>
      </c>
      <c r="J329" s="5" t="s">
        <v>0</v>
      </c>
      <c r="K329" s="5" t="s">
        <v>1</v>
      </c>
      <c r="L329" s="5" t="s">
        <v>2</v>
      </c>
      <c r="M329" s="5" t="s">
        <v>913</v>
      </c>
      <c r="N329" s="5" t="s">
        <v>577</v>
      </c>
      <c r="O329" s="5" t="s">
        <v>8</v>
      </c>
      <c r="P329" s="5" t="s">
        <v>9</v>
      </c>
      <c r="XFD329"/>
    </row>
    <row r="330" spans="1:16 16384:16384" s="5" customFormat="1">
      <c r="A330" s="5" t="str">
        <f t="shared" si="10"/>
        <v>PAH</v>
      </c>
      <c r="B330" s="5" t="str">
        <f t="shared" si="11"/>
        <v>PAH92751</v>
      </c>
      <c r="C330" s="5" t="str">
        <f>IF(ISNA(VLOOKUP(A330&amp;D330,VCEPReports,4,FALSE)),"",VLOOKUP(A330&amp;D330,VCEPReports,4,FALSE))</f>
        <v/>
      </c>
      <c r="D330" s="5">
        <v>92751</v>
      </c>
      <c r="E330" s="5" t="s">
        <v>3</v>
      </c>
      <c r="F330" s="6">
        <v>43322</v>
      </c>
      <c r="G330" s="5" t="s">
        <v>578</v>
      </c>
      <c r="H330" s="5" t="s">
        <v>5</v>
      </c>
      <c r="I330" s="5" t="s">
        <v>6</v>
      </c>
      <c r="J330" s="5" t="s">
        <v>0</v>
      </c>
      <c r="K330" s="5" t="s">
        <v>1</v>
      </c>
      <c r="L330" s="5" t="s">
        <v>2</v>
      </c>
      <c r="M330" s="5" t="s">
        <v>913</v>
      </c>
      <c r="N330" s="5" t="s">
        <v>579</v>
      </c>
      <c r="O330" s="5" t="s">
        <v>8</v>
      </c>
      <c r="P330" s="5" t="s">
        <v>9</v>
      </c>
      <c r="XFD330"/>
    </row>
    <row r="331" spans="1:16 16384:16384" s="5" customFormat="1">
      <c r="A331" s="5" t="str">
        <f t="shared" si="10"/>
        <v>PAH</v>
      </c>
      <c r="B331" s="5" t="str">
        <f t="shared" si="11"/>
        <v>PAH92752</v>
      </c>
      <c r="C331" s="5" t="str">
        <f>IF(ISNA(VLOOKUP(A331&amp;D331,VCEPReports,4,FALSE)),"",VLOOKUP(A331&amp;D331,VCEPReports,4,FALSE))</f>
        <v/>
      </c>
      <c r="D331" s="5">
        <v>92752</v>
      </c>
      <c r="E331" s="5" t="s">
        <v>3</v>
      </c>
      <c r="F331" s="6">
        <v>43322</v>
      </c>
      <c r="G331" s="5" t="s">
        <v>580</v>
      </c>
      <c r="H331" s="5" t="s">
        <v>5</v>
      </c>
      <c r="I331" s="5" t="s">
        <v>6</v>
      </c>
      <c r="J331" s="5" t="s">
        <v>0</v>
      </c>
      <c r="K331" s="5" t="s">
        <v>1</v>
      </c>
      <c r="L331" s="5" t="s">
        <v>2</v>
      </c>
      <c r="M331" s="5" t="s">
        <v>913</v>
      </c>
      <c r="N331" s="5" t="s">
        <v>581</v>
      </c>
      <c r="O331" s="5" t="s">
        <v>8</v>
      </c>
      <c r="P331" s="5" t="s">
        <v>9</v>
      </c>
      <c r="XFD331"/>
    </row>
    <row r="332" spans="1:16 16384:16384" s="5" customFormat="1">
      <c r="A332" s="5" t="str">
        <f t="shared" si="10"/>
        <v>PAH</v>
      </c>
      <c r="B332" s="5" t="str">
        <f t="shared" si="11"/>
        <v>PAH92753</v>
      </c>
      <c r="C332" s="5" t="str">
        <f>IF(ISNA(VLOOKUP(A332&amp;D332,VCEPReports,4,FALSE)),"",VLOOKUP(A332&amp;D332,VCEPReports,4,FALSE))</f>
        <v/>
      </c>
      <c r="D332" s="5">
        <v>92753</v>
      </c>
      <c r="E332" s="5" t="s">
        <v>3</v>
      </c>
      <c r="F332" s="6">
        <v>43322</v>
      </c>
      <c r="G332" s="5" t="s">
        <v>582</v>
      </c>
      <c r="H332" s="5" t="s">
        <v>5</v>
      </c>
      <c r="I332" s="5" t="s">
        <v>6</v>
      </c>
      <c r="J332" s="5" t="s">
        <v>0</v>
      </c>
      <c r="K332" s="5" t="s">
        <v>1</v>
      </c>
      <c r="L332" s="5" t="s">
        <v>2</v>
      </c>
      <c r="M332" s="5" t="s">
        <v>913</v>
      </c>
      <c r="N332" s="5" t="s">
        <v>583</v>
      </c>
      <c r="O332" s="5" t="s">
        <v>8</v>
      </c>
      <c r="P332" s="5" t="s">
        <v>9</v>
      </c>
      <c r="XFD332"/>
    </row>
    <row r="333" spans="1:16 16384:16384" s="5" customFormat="1">
      <c r="A333" s="5" t="str">
        <f t="shared" si="10"/>
        <v>PAH</v>
      </c>
      <c r="B333" s="5" t="str">
        <f t="shared" si="11"/>
        <v>PAH92755</v>
      </c>
      <c r="C333" s="5" t="str">
        <f>IF(ISNA(VLOOKUP(A333&amp;D333,VCEPReports,4,FALSE)),"",VLOOKUP(A333&amp;D333,VCEPReports,4,FALSE))</f>
        <v/>
      </c>
      <c r="D333" s="5">
        <v>92755</v>
      </c>
      <c r="E333" s="5" t="s">
        <v>65</v>
      </c>
      <c r="F333" s="6">
        <v>43322</v>
      </c>
      <c r="G333" s="5" t="s">
        <v>584</v>
      </c>
      <c r="H333" s="5" t="s">
        <v>5</v>
      </c>
      <c r="I333" s="5" t="s">
        <v>6</v>
      </c>
      <c r="J333" s="5" t="s">
        <v>0</v>
      </c>
      <c r="K333" s="5" t="s">
        <v>1</v>
      </c>
      <c r="L333" s="5" t="s">
        <v>2</v>
      </c>
      <c r="M333" s="5" t="s">
        <v>913</v>
      </c>
      <c r="N333" s="5" t="s">
        <v>585</v>
      </c>
      <c r="O333" s="5" t="s">
        <v>8</v>
      </c>
      <c r="P333" s="5" t="s">
        <v>9</v>
      </c>
      <c r="XFD333"/>
    </row>
    <row r="334" spans="1:16 16384:16384" s="5" customFormat="1">
      <c r="A334" s="5" t="str">
        <f t="shared" si="10"/>
        <v>PTEN</v>
      </c>
      <c r="B334" s="5" t="str">
        <f t="shared" si="11"/>
        <v>PTEN92808</v>
      </c>
      <c r="C334" s="5" t="str">
        <f>IF(ISNA(VLOOKUP(A334&amp;D334,VCEPReports,4,FALSE)),"",VLOOKUP(A334&amp;D334,VCEPReports,4,FALSE))</f>
        <v>d1c7275d-fc3f-4feb-b749-4a6562cbc2d9</v>
      </c>
      <c r="D334" s="5">
        <v>92808</v>
      </c>
      <c r="E334" s="5" t="s">
        <v>65</v>
      </c>
      <c r="F334" s="6">
        <v>42683</v>
      </c>
      <c r="G334" s="5" t="s">
        <v>586</v>
      </c>
      <c r="H334" s="5" t="s">
        <v>95</v>
      </c>
      <c r="I334" s="5" t="s">
        <v>96</v>
      </c>
      <c r="J334" s="5" t="s">
        <v>0</v>
      </c>
      <c r="K334" s="5" t="s">
        <v>1</v>
      </c>
      <c r="L334" s="5" t="s">
        <v>2</v>
      </c>
      <c r="M334" s="5" t="s">
        <v>917</v>
      </c>
      <c r="N334" s="5" t="s">
        <v>587</v>
      </c>
      <c r="O334" s="5" t="s">
        <v>98</v>
      </c>
      <c r="P334" s="5" t="s">
        <v>9</v>
      </c>
      <c r="XFD334"/>
    </row>
    <row r="335" spans="1:16 16384:16384" s="5" customFormat="1">
      <c r="A335" s="5" t="str">
        <f t="shared" si="10"/>
        <v>PTEN</v>
      </c>
      <c r="B335" s="5" t="str">
        <f t="shared" si="11"/>
        <v>PTEN92810</v>
      </c>
      <c r="C335" s="5" t="str">
        <f>IF(ISNA(VLOOKUP(A335&amp;D335,VCEPReports,4,FALSE)),"",VLOOKUP(A335&amp;D335,VCEPReports,4,FALSE))</f>
        <v>30a41c35-daf4-47cc-b83c-ccf0c557f631</v>
      </c>
      <c r="D335" s="5">
        <v>92810</v>
      </c>
      <c r="E335" s="5" t="s">
        <v>65</v>
      </c>
      <c r="F335" s="6">
        <v>42627</v>
      </c>
      <c r="G335" s="5" t="s">
        <v>588</v>
      </c>
      <c r="H335" s="5" t="s">
        <v>95</v>
      </c>
      <c r="I335" s="5" t="s">
        <v>96</v>
      </c>
      <c r="J335" s="5" t="s">
        <v>0</v>
      </c>
      <c r="K335" s="5" t="s">
        <v>1</v>
      </c>
      <c r="L335" s="5" t="s">
        <v>2</v>
      </c>
      <c r="M335" s="5" t="s">
        <v>917</v>
      </c>
      <c r="N335" s="5" t="s">
        <v>589</v>
      </c>
      <c r="O335" s="5" t="s">
        <v>98</v>
      </c>
      <c r="P335" s="5" t="s">
        <v>9</v>
      </c>
      <c r="XFD335"/>
    </row>
    <row r="336" spans="1:16 16384:16384" s="5" customFormat="1">
      <c r="A336" s="5" t="str">
        <f t="shared" si="10"/>
        <v>PTEN</v>
      </c>
      <c r="B336" s="5" t="str">
        <f t="shared" si="11"/>
        <v>PTEN92813</v>
      </c>
      <c r="C336" s="5" t="str">
        <f>IF(ISNA(VLOOKUP(A336&amp;D336,VCEPReports,4,FALSE)),"",VLOOKUP(A336&amp;D336,VCEPReports,4,FALSE))</f>
        <v>4fa0530f-2999-441d-b303-9451e343e97b</v>
      </c>
      <c r="D336" s="5">
        <v>92813</v>
      </c>
      <c r="E336" s="5" t="s">
        <v>212</v>
      </c>
      <c r="F336" s="6">
        <v>42683</v>
      </c>
      <c r="G336" s="5" t="s">
        <v>590</v>
      </c>
      <c r="H336" s="5" t="s">
        <v>95</v>
      </c>
      <c r="I336" s="5" t="s">
        <v>96</v>
      </c>
      <c r="J336" s="5" t="s">
        <v>0</v>
      </c>
      <c r="K336" s="5" t="s">
        <v>1</v>
      </c>
      <c r="L336" s="5" t="s">
        <v>2</v>
      </c>
      <c r="M336" s="5" t="s">
        <v>917</v>
      </c>
      <c r="N336" s="5" t="s">
        <v>591</v>
      </c>
      <c r="O336" s="5" t="s">
        <v>98</v>
      </c>
      <c r="P336" s="5" t="s">
        <v>9</v>
      </c>
      <c r="XFD336"/>
    </row>
    <row r="337" spans="1:16 16384:16384" s="5" customFormat="1">
      <c r="A337" s="5" t="str">
        <f t="shared" si="10"/>
        <v>PTEN</v>
      </c>
      <c r="B337" s="5" t="str">
        <f t="shared" si="11"/>
        <v>PTEN92816</v>
      </c>
      <c r="C337" s="5" t="str">
        <f>IF(ISNA(VLOOKUP(A337&amp;D337,VCEPReports,4,FALSE)),"",VLOOKUP(A337&amp;D337,VCEPReports,4,FALSE))</f>
        <v>9b41938e-76e1-469c-a782-0fabdaceb60c</v>
      </c>
      <c r="D337" s="5">
        <v>92816</v>
      </c>
      <c r="E337" s="5" t="s">
        <v>3</v>
      </c>
      <c r="F337" s="6">
        <v>43087</v>
      </c>
      <c r="G337" s="5" t="s">
        <v>592</v>
      </c>
      <c r="H337" s="5" t="s">
        <v>95</v>
      </c>
      <c r="I337" s="5" t="s">
        <v>96</v>
      </c>
      <c r="J337" s="5" t="s">
        <v>0</v>
      </c>
      <c r="K337" s="5" t="s">
        <v>1</v>
      </c>
      <c r="L337" s="5" t="s">
        <v>2</v>
      </c>
      <c r="M337" s="5" t="s">
        <v>917</v>
      </c>
      <c r="N337" s="5" t="s">
        <v>593</v>
      </c>
      <c r="O337" s="5" t="s">
        <v>98</v>
      </c>
      <c r="P337" s="5" t="s">
        <v>9</v>
      </c>
      <c r="XFD337"/>
    </row>
    <row r="338" spans="1:16 16384:16384" s="5" customFormat="1">
      <c r="A338" s="5" t="str">
        <f t="shared" si="10"/>
        <v>PTEN</v>
      </c>
      <c r="B338" s="5" t="str">
        <f t="shared" si="11"/>
        <v>PTEN92818</v>
      </c>
      <c r="C338" s="5" t="str">
        <f>IF(ISNA(VLOOKUP(A338&amp;D338,VCEPReports,4,FALSE)),"",VLOOKUP(A338&amp;D338,VCEPReports,4,FALSE))</f>
        <v>e0072965-9b20-4fa8-bfab-2ec93223849b</v>
      </c>
      <c r="D338" s="5">
        <v>92818</v>
      </c>
      <c r="E338" s="5" t="s">
        <v>212</v>
      </c>
      <c r="F338" s="6">
        <v>42718</v>
      </c>
      <c r="G338" s="5" t="s">
        <v>594</v>
      </c>
      <c r="H338" s="5" t="s">
        <v>95</v>
      </c>
      <c r="I338" s="5" t="s">
        <v>96</v>
      </c>
      <c r="J338" s="5" t="s">
        <v>0</v>
      </c>
      <c r="K338" s="5" t="s">
        <v>1</v>
      </c>
      <c r="L338" s="5" t="s">
        <v>2</v>
      </c>
      <c r="M338" s="5" t="s">
        <v>917</v>
      </c>
      <c r="N338" s="5" t="s">
        <v>595</v>
      </c>
      <c r="O338" s="5" t="s">
        <v>98</v>
      </c>
      <c r="P338" s="5" t="s">
        <v>9</v>
      </c>
      <c r="XFD338"/>
    </row>
    <row r="339" spans="1:16 16384:16384" s="5" customFormat="1">
      <c r="A339" s="5" t="str">
        <f t="shared" si="10"/>
        <v>PTEN</v>
      </c>
      <c r="B339" s="5" t="str">
        <f t="shared" si="11"/>
        <v>PTEN92822</v>
      </c>
      <c r="C339" s="5" t="str">
        <f>IF(ISNA(VLOOKUP(A339&amp;D339,VCEPReports,4,FALSE)),"",VLOOKUP(A339&amp;D339,VCEPReports,4,FALSE))</f>
        <v>9c15b246-ef9f-4f55-a246-126b49710717</v>
      </c>
      <c r="D339" s="5">
        <v>92822</v>
      </c>
      <c r="E339" s="5" t="s">
        <v>24</v>
      </c>
      <c r="F339" s="6">
        <v>43196</v>
      </c>
      <c r="G339" s="5" t="s">
        <v>934</v>
      </c>
      <c r="H339" s="5" t="s">
        <v>95</v>
      </c>
      <c r="I339" s="5" t="s">
        <v>96</v>
      </c>
      <c r="J339" s="5" t="s">
        <v>0</v>
      </c>
      <c r="K339" s="5" t="s">
        <v>1</v>
      </c>
      <c r="L339" s="5" t="s">
        <v>2</v>
      </c>
      <c r="M339" s="5" t="s">
        <v>917</v>
      </c>
      <c r="N339" s="5" t="s">
        <v>935</v>
      </c>
      <c r="O339" s="5" t="s">
        <v>98</v>
      </c>
      <c r="P339" s="5" t="s">
        <v>9</v>
      </c>
      <c r="XFD339"/>
    </row>
    <row r="340" spans="1:16 16384:16384" s="5" customFormat="1">
      <c r="A340" s="5" t="str">
        <f t="shared" si="10"/>
        <v>PTEN</v>
      </c>
      <c r="B340" s="5" t="str">
        <f t="shared" si="11"/>
        <v>PTEN92827</v>
      </c>
      <c r="C340" s="5" t="str">
        <f>IF(ISNA(VLOOKUP(A340&amp;D340,VCEPReports,4,FALSE)),"",VLOOKUP(A340&amp;D340,VCEPReports,4,FALSE))</f>
        <v>e8d81f24-56b8-4bfb-82c1-e3c4bb305db9</v>
      </c>
      <c r="D340" s="5">
        <v>92827</v>
      </c>
      <c r="E340" s="5" t="s">
        <v>65</v>
      </c>
      <c r="F340" s="6">
        <v>42627</v>
      </c>
      <c r="G340" s="5" t="s">
        <v>596</v>
      </c>
      <c r="H340" s="5" t="s">
        <v>95</v>
      </c>
      <c r="I340" s="5" t="s">
        <v>96</v>
      </c>
      <c r="J340" s="5" t="s">
        <v>0</v>
      </c>
      <c r="K340" s="5" t="s">
        <v>1</v>
      </c>
      <c r="L340" s="5" t="s">
        <v>2</v>
      </c>
      <c r="M340" s="5" t="s">
        <v>917</v>
      </c>
      <c r="N340" s="5" t="s">
        <v>597</v>
      </c>
      <c r="O340" s="5" t="s">
        <v>98</v>
      </c>
      <c r="P340" s="5" t="s">
        <v>9</v>
      </c>
      <c r="XFD340"/>
    </row>
    <row r="341" spans="1:16 16384:16384" s="5" customFormat="1">
      <c r="A341" s="5" t="str">
        <f t="shared" si="10"/>
        <v>PTEN</v>
      </c>
      <c r="B341" s="5" t="str">
        <f t="shared" si="11"/>
        <v>PTEN92829</v>
      </c>
      <c r="C341" s="5" t="str">
        <f>IF(ISNA(VLOOKUP(A341&amp;D341,VCEPReports,4,FALSE)),"",VLOOKUP(A341&amp;D341,VCEPReports,4,FALSE))</f>
        <v>742d7bc7-fc1a-47ac-b7fb-3be400cfe09f</v>
      </c>
      <c r="D341" s="5">
        <v>92829</v>
      </c>
      <c r="E341" s="5" t="s">
        <v>212</v>
      </c>
      <c r="F341" s="6">
        <v>43369</v>
      </c>
      <c r="G341" s="5" t="s">
        <v>598</v>
      </c>
      <c r="H341" s="5" t="s">
        <v>95</v>
      </c>
      <c r="I341" s="5" t="s">
        <v>96</v>
      </c>
      <c r="J341" s="5" t="s">
        <v>0</v>
      </c>
      <c r="K341" s="5" t="s">
        <v>1</v>
      </c>
      <c r="L341" s="5" t="s">
        <v>2</v>
      </c>
      <c r="M341" s="5" t="s">
        <v>917</v>
      </c>
      <c r="N341" s="5" t="s">
        <v>599</v>
      </c>
      <c r="O341" s="5" t="s">
        <v>98</v>
      </c>
      <c r="P341" s="5" t="s">
        <v>9</v>
      </c>
      <c r="XFD341"/>
    </row>
    <row r="342" spans="1:16 16384:16384" s="5" customFormat="1">
      <c r="A342" s="5" t="str">
        <f t="shared" si="10"/>
        <v>RAS</v>
      </c>
      <c r="B342" s="5" t="str">
        <f t="shared" si="11"/>
        <v>RAS94082</v>
      </c>
      <c r="C342" s="5" t="str">
        <f>IF(ISNA(VLOOKUP(A342&amp;D342,VCEPReports,4,FALSE)),"",VLOOKUP(A342&amp;D342,VCEPReports,4,FALSE))</f>
        <v/>
      </c>
      <c r="D342" s="5">
        <v>94082</v>
      </c>
      <c r="E342" s="5" t="s">
        <v>65</v>
      </c>
      <c r="F342" s="6">
        <v>42864</v>
      </c>
      <c r="G342" s="5" t="s">
        <v>600</v>
      </c>
      <c r="H342" s="5" t="s">
        <v>109</v>
      </c>
      <c r="I342" s="5" t="s">
        <v>110</v>
      </c>
      <c r="J342" s="5" t="s">
        <v>0</v>
      </c>
      <c r="K342" s="5" t="s">
        <v>1</v>
      </c>
      <c r="L342" s="5" t="s">
        <v>2</v>
      </c>
      <c r="M342" s="5" t="s">
        <v>915</v>
      </c>
      <c r="N342" s="5" t="s">
        <v>601</v>
      </c>
      <c r="O342" s="5" t="s">
        <v>153</v>
      </c>
      <c r="P342" s="5" t="s">
        <v>9</v>
      </c>
      <c r="XFD342"/>
    </row>
    <row r="343" spans="1:16 16384:16384" s="5" customFormat="1">
      <c r="A343" s="5" t="str">
        <f t="shared" si="10"/>
        <v>PAH</v>
      </c>
      <c r="B343" s="5" t="str">
        <f t="shared" si="11"/>
        <v>PAH102475</v>
      </c>
      <c r="C343" s="5" t="str">
        <f>IF(ISNA(VLOOKUP(A343&amp;D343,VCEPReports,4,FALSE)),"",VLOOKUP(A343&amp;D343,VCEPReports,4,FALSE))</f>
        <v/>
      </c>
      <c r="D343" s="5">
        <v>102475</v>
      </c>
      <c r="E343" s="5" t="s">
        <v>3</v>
      </c>
      <c r="F343" s="6">
        <v>43322</v>
      </c>
      <c r="G343" s="5" t="s">
        <v>602</v>
      </c>
      <c r="H343" s="5" t="s">
        <v>5</v>
      </c>
      <c r="I343" s="5" t="s">
        <v>6</v>
      </c>
      <c r="J343" s="5" t="s">
        <v>0</v>
      </c>
      <c r="K343" s="5" t="s">
        <v>1</v>
      </c>
      <c r="L343" s="5" t="s">
        <v>2</v>
      </c>
      <c r="M343" s="5" t="s">
        <v>913</v>
      </c>
      <c r="N343" s="5" t="s">
        <v>603</v>
      </c>
      <c r="O343" s="5" t="s">
        <v>8</v>
      </c>
      <c r="P343" s="5" t="s">
        <v>9</v>
      </c>
      <c r="XFD343"/>
    </row>
    <row r="344" spans="1:16 16384:16384" s="5" customFormat="1">
      <c r="A344" s="5" t="str">
        <f t="shared" si="10"/>
        <v>PAH</v>
      </c>
      <c r="B344" s="5" t="str">
        <f t="shared" si="11"/>
        <v>PAH102483</v>
      </c>
      <c r="C344" s="5" t="str">
        <f>IF(ISNA(VLOOKUP(A344&amp;D344,VCEPReports,4,FALSE)),"",VLOOKUP(A344&amp;D344,VCEPReports,4,FALSE))</f>
        <v/>
      </c>
      <c r="D344" s="5">
        <v>102483</v>
      </c>
      <c r="E344" s="5" t="s">
        <v>24</v>
      </c>
      <c r="F344" s="6">
        <v>43322</v>
      </c>
      <c r="G344" s="5" t="s">
        <v>604</v>
      </c>
      <c r="H344" s="5" t="s">
        <v>5</v>
      </c>
      <c r="I344" s="5" t="s">
        <v>6</v>
      </c>
      <c r="J344" s="5" t="s">
        <v>0</v>
      </c>
      <c r="K344" s="5" t="s">
        <v>1</v>
      </c>
      <c r="L344" s="5" t="s">
        <v>2</v>
      </c>
      <c r="M344" s="5" t="s">
        <v>913</v>
      </c>
      <c r="N344" s="5" t="s">
        <v>605</v>
      </c>
      <c r="O344" s="5" t="s">
        <v>8</v>
      </c>
      <c r="P344" s="5" t="s">
        <v>9</v>
      </c>
      <c r="XFD344"/>
    </row>
    <row r="345" spans="1:16 16384:16384" s="5" customFormat="1">
      <c r="A345" s="5" t="str">
        <f t="shared" si="10"/>
        <v>PAH</v>
      </c>
      <c r="B345" s="5" t="str">
        <f t="shared" si="11"/>
        <v>PAH102498</v>
      </c>
      <c r="C345" s="5" t="str">
        <f>IF(ISNA(VLOOKUP(A345&amp;D345,VCEPReports,4,FALSE)),"",VLOOKUP(A345&amp;D345,VCEPReports,4,FALSE))</f>
        <v/>
      </c>
      <c r="D345" s="5">
        <v>102498</v>
      </c>
      <c r="E345" s="5" t="s">
        <v>3</v>
      </c>
      <c r="F345" s="6">
        <v>43322</v>
      </c>
      <c r="G345" s="5" t="s">
        <v>606</v>
      </c>
      <c r="H345" s="5" t="s">
        <v>5</v>
      </c>
      <c r="I345" s="5" t="s">
        <v>6</v>
      </c>
      <c r="J345" s="5" t="s">
        <v>0</v>
      </c>
      <c r="K345" s="5" t="s">
        <v>1</v>
      </c>
      <c r="L345" s="5" t="s">
        <v>2</v>
      </c>
      <c r="M345" s="5" t="s">
        <v>913</v>
      </c>
      <c r="N345" s="5" t="s">
        <v>607</v>
      </c>
      <c r="O345" s="5" t="s">
        <v>8</v>
      </c>
      <c r="P345" s="5" t="s">
        <v>9</v>
      </c>
      <c r="XFD345"/>
    </row>
    <row r="346" spans="1:16 16384:16384" s="5" customFormat="1">
      <c r="A346" s="5" t="str">
        <f t="shared" si="10"/>
        <v>PAH</v>
      </c>
      <c r="B346" s="5" t="str">
        <f t="shared" si="11"/>
        <v>PAH102518</v>
      </c>
      <c r="C346" s="5" t="str">
        <f>IF(ISNA(VLOOKUP(A346&amp;D346,VCEPReports,4,FALSE)),"",VLOOKUP(A346&amp;D346,VCEPReports,4,FALSE))</f>
        <v/>
      </c>
      <c r="D346" s="5">
        <v>102518</v>
      </c>
      <c r="E346" s="5" t="s">
        <v>3</v>
      </c>
      <c r="F346" s="6">
        <v>43322</v>
      </c>
      <c r="G346" s="5" t="s">
        <v>608</v>
      </c>
      <c r="H346" s="5" t="s">
        <v>5</v>
      </c>
      <c r="I346" s="5" t="s">
        <v>6</v>
      </c>
      <c r="J346" s="5" t="s">
        <v>0</v>
      </c>
      <c r="K346" s="5" t="s">
        <v>1</v>
      </c>
      <c r="L346" s="5" t="s">
        <v>2</v>
      </c>
      <c r="M346" s="5" t="s">
        <v>913</v>
      </c>
      <c r="N346" s="5" t="s">
        <v>609</v>
      </c>
      <c r="O346" s="5" t="s">
        <v>8</v>
      </c>
      <c r="P346" s="5" t="s">
        <v>9</v>
      </c>
      <c r="XFD346"/>
    </row>
    <row r="347" spans="1:16 16384:16384" s="5" customFormat="1">
      <c r="A347" s="5" t="str">
        <f t="shared" si="10"/>
        <v>PAH</v>
      </c>
      <c r="B347" s="5" t="str">
        <f t="shared" si="11"/>
        <v>PAH102557</v>
      </c>
      <c r="C347" s="5" t="str">
        <f>IF(ISNA(VLOOKUP(A347&amp;D347,VCEPReports,4,FALSE)),"",VLOOKUP(A347&amp;D347,VCEPReports,4,FALSE))</f>
        <v/>
      </c>
      <c r="D347" s="5">
        <v>102557</v>
      </c>
      <c r="E347" s="5" t="s">
        <v>3</v>
      </c>
      <c r="F347" s="6">
        <v>43339</v>
      </c>
      <c r="G347" s="5" t="s">
        <v>610</v>
      </c>
      <c r="H347" s="5" t="s">
        <v>5</v>
      </c>
      <c r="I347" s="5" t="s">
        <v>6</v>
      </c>
      <c r="J347" s="5" t="s">
        <v>0</v>
      </c>
      <c r="K347" s="5" t="s">
        <v>1</v>
      </c>
      <c r="L347" s="5" t="s">
        <v>2</v>
      </c>
      <c r="M347" s="5" t="s">
        <v>913</v>
      </c>
      <c r="N347" s="5" t="s">
        <v>611</v>
      </c>
      <c r="O347" s="5" t="s">
        <v>8</v>
      </c>
      <c r="P347" s="5" t="s">
        <v>9</v>
      </c>
      <c r="XFD347"/>
    </row>
    <row r="348" spans="1:16 16384:16384" s="5" customFormat="1">
      <c r="A348" s="5" t="str">
        <f t="shared" si="10"/>
        <v>PAH</v>
      </c>
      <c r="B348" s="5" t="str">
        <f t="shared" si="11"/>
        <v>PAH102577</v>
      </c>
      <c r="C348" s="5" t="str">
        <f>IF(ISNA(VLOOKUP(A348&amp;D348,VCEPReports,4,FALSE)),"",VLOOKUP(A348&amp;D348,VCEPReports,4,FALSE))</f>
        <v/>
      </c>
      <c r="D348" s="5">
        <v>102577</v>
      </c>
      <c r="E348" s="5" t="s">
        <v>65</v>
      </c>
      <c r="F348" s="6">
        <v>43322</v>
      </c>
      <c r="G348" s="5" t="s">
        <v>612</v>
      </c>
      <c r="H348" s="5" t="s">
        <v>5</v>
      </c>
      <c r="I348" s="5" t="s">
        <v>6</v>
      </c>
      <c r="J348" s="5" t="s">
        <v>0</v>
      </c>
      <c r="K348" s="5" t="s">
        <v>1</v>
      </c>
      <c r="L348" s="5" t="s">
        <v>2</v>
      </c>
      <c r="M348" s="5" t="s">
        <v>913</v>
      </c>
      <c r="N348" s="5" t="s">
        <v>613</v>
      </c>
      <c r="O348" s="5" t="s">
        <v>8</v>
      </c>
      <c r="P348" s="5" t="s">
        <v>9</v>
      </c>
      <c r="XFD348"/>
    </row>
    <row r="349" spans="1:16 16384:16384" s="5" customFormat="1">
      <c r="A349" s="5" t="str">
        <f t="shared" si="10"/>
        <v>PAH</v>
      </c>
      <c r="B349" s="5" t="str">
        <f t="shared" si="11"/>
        <v>PAH102601</v>
      </c>
      <c r="C349" s="5" t="str">
        <f>IF(ISNA(VLOOKUP(A349&amp;D349,VCEPReports,4,FALSE)),"",VLOOKUP(A349&amp;D349,VCEPReports,4,FALSE))</f>
        <v/>
      </c>
      <c r="D349" s="5">
        <v>102601</v>
      </c>
      <c r="E349" s="5" t="s">
        <v>86</v>
      </c>
      <c r="F349" s="6">
        <v>43322</v>
      </c>
      <c r="G349" s="5" t="s">
        <v>614</v>
      </c>
      <c r="H349" s="5" t="s">
        <v>5</v>
      </c>
      <c r="I349" s="5" t="s">
        <v>6</v>
      </c>
      <c r="J349" s="5" t="s">
        <v>0</v>
      </c>
      <c r="K349" s="5" t="s">
        <v>1</v>
      </c>
      <c r="L349" s="5" t="s">
        <v>2</v>
      </c>
      <c r="M349" s="5" t="s">
        <v>913</v>
      </c>
      <c r="N349" s="5" t="s">
        <v>615</v>
      </c>
      <c r="O349" s="5" t="s">
        <v>8</v>
      </c>
      <c r="P349" s="5" t="s">
        <v>9</v>
      </c>
      <c r="XFD349"/>
    </row>
    <row r="350" spans="1:16 16384:16384" s="5" customFormat="1">
      <c r="A350" s="5" t="str">
        <f t="shared" si="10"/>
        <v>PAH</v>
      </c>
      <c r="B350" s="5" t="str">
        <f t="shared" si="11"/>
        <v>PAH102632</v>
      </c>
      <c r="C350" s="5" t="str">
        <f>IF(ISNA(VLOOKUP(A350&amp;D350,VCEPReports,4,FALSE)),"",VLOOKUP(A350&amp;D350,VCEPReports,4,FALSE))</f>
        <v/>
      </c>
      <c r="D350" s="5">
        <v>102632</v>
      </c>
      <c r="E350" s="5" t="s">
        <v>3</v>
      </c>
      <c r="F350" s="6">
        <v>43317</v>
      </c>
      <c r="G350" s="5" t="s">
        <v>616</v>
      </c>
      <c r="H350" s="5" t="s">
        <v>5</v>
      </c>
      <c r="I350" s="5" t="s">
        <v>6</v>
      </c>
      <c r="J350" s="5" t="s">
        <v>0</v>
      </c>
      <c r="K350" s="5" t="s">
        <v>1</v>
      </c>
      <c r="L350" s="5" t="s">
        <v>2</v>
      </c>
      <c r="M350" s="5" t="s">
        <v>913</v>
      </c>
      <c r="N350" s="5" t="s">
        <v>617</v>
      </c>
      <c r="O350" s="5" t="s">
        <v>8</v>
      </c>
      <c r="P350" s="5" t="s">
        <v>9</v>
      </c>
      <c r="XFD350"/>
    </row>
    <row r="351" spans="1:16 16384:16384" s="5" customFormat="1">
      <c r="A351" s="5" t="str">
        <f t="shared" si="10"/>
        <v>PAH</v>
      </c>
      <c r="B351" s="5" t="str">
        <f t="shared" si="11"/>
        <v>PAH102650</v>
      </c>
      <c r="C351" s="5" t="str">
        <f>IF(ISNA(VLOOKUP(A351&amp;D351,VCEPReports,4,FALSE)),"",VLOOKUP(A351&amp;D351,VCEPReports,4,FALSE))</f>
        <v/>
      </c>
      <c r="D351" s="5">
        <v>102650</v>
      </c>
      <c r="E351" s="5" t="s">
        <v>3</v>
      </c>
      <c r="F351" s="6">
        <v>43319</v>
      </c>
      <c r="G351" s="5" t="s">
        <v>618</v>
      </c>
      <c r="H351" s="5" t="s">
        <v>5</v>
      </c>
      <c r="I351" s="5" t="s">
        <v>6</v>
      </c>
      <c r="J351" s="5" t="s">
        <v>0</v>
      </c>
      <c r="K351" s="5" t="s">
        <v>1</v>
      </c>
      <c r="L351" s="5" t="s">
        <v>2</v>
      </c>
      <c r="M351" s="5" t="s">
        <v>913</v>
      </c>
      <c r="N351" s="5" t="s">
        <v>619</v>
      </c>
      <c r="O351" s="5" t="s">
        <v>8</v>
      </c>
      <c r="P351" s="5" t="s">
        <v>9</v>
      </c>
      <c r="XFD351"/>
    </row>
    <row r="352" spans="1:16 16384:16384" s="5" customFormat="1">
      <c r="A352" s="5" t="str">
        <f t="shared" si="10"/>
        <v>PAH</v>
      </c>
      <c r="B352" s="5" t="str">
        <f t="shared" si="11"/>
        <v>PAH102687</v>
      </c>
      <c r="C352" s="5" t="str">
        <f>IF(ISNA(VLOOKUP(A352&amp;D352,VCEPReports,4,FALSE)),"",VLOOKUP(A352&amp;D352,VCEPReports,4,FALSE))</f>
        <v/>
      </c>
      <c r="D352" s="5">
        <v>102687</v>
      </c>
      <c r="E352" s="5" t="s">
        <v>24</v>
      </c>
      <c r="F352" s="6">
        <v>43322</v>
      </c>
      <c r="G352" s="5" t="s">
        <v>620</v>
      </c>
      <c r="H352" s="5" t="s">
        <v>5</v>
      </c>
      <c r="I352" s="5" t="s">
        <v>6</v>
      </c>
      <c r="J352" s="5" t="s">
        <v>0</v>
      </c>
      <c r="K352" s="5" t="s">
        <v>1</v>
      </c>
      <c r="L352" s="5" t="s">
        <v>2</v>
      </c>
      <c r="M352" s="5" t="s">
        <v>913</v>
      </c>
      <c r="N352" s="5" t="s">
        <v>621</v>
      </c>
      <c r="O352" s="5" t="s">
        <v>8</v>
      </c>
      <c r="P352" s="5" t="s">
        <v>9</v>
      </c>
      <c r="XFD352"/>
    </row>
    <row r="353" spans="1:16 16384:16384" s="5" customFormat="1">
      <c r="A353" s="5" t="str">
        <f t="shared" si="10"/>
        <v>PAH</v>
      </c>
      <c r="B353" s="5" t="str">
        <f t="shared" si="11"/>
        <v>PAH102693</v>
      </c>
      <c r="C353" s="5" t="str">
        <f>IF(ISNA(VLOOKUP(A353&amp;D353,VCEPReports,4,FALSE)),"",VLOOKUP(A353&amp;D353,VCEPReports,4,FALSE))</f>
        <v/>
      </c>
      <c r="D353" s="5">
        <v>102693</v>
      </c>
      <c r="E353" s="5" t="s">
        <v>3</v>
      </c>
      <c r="F353" s="6">
        <v>43322</v>
      </c>
      <c r="G353" s="5" t="s">
        <v>622</v>
      </c>
      <c r="H353" s="5" t="s">
        <v>5</v>
      </c>
      <c r="I353" s="5" t="s">
        <v>6</v>
      </c>
      <c r="J353" s="5" t="s">
        <v>0</v>
      </c>
      <c r="K353" s="5" t="s">
        <v>1</v>
      </c>
      <c r="L353" s="5" t="s">
        <v>2</v>
      </c>
      <c r="M353" s="5" t="s">
        <v>913</v>
      </c>
      <c r="N353" s="5" t="s">
        <v>623</v>
      </c>
      <c r="O353" s="5" t="s">
        <v>8</v>
      </c>
      <c r="P353" s="5" t="s">
        <v>9</v>
      </c>
      <c r="XFD353"/>
    </row>
    <row r="354" spans="1:16 16384:16384" s="5" customFormat="1">
      <c r="A354" s="5" t="str">
        <f t="shared" si="10"/>
        <v>PAH</v>
      </c>
      <c r="B354" s="5" t="str">
        <f t="shared" si="11"/>
        <v>PAH102696</v>
      </c>
      <c r="C354" s="5" t="str">
        <f>IF(ISNA(VLOOKUP(A354&amp;D354,VCEPReports,4,FALSE)),"",VLOOKUP(A354&amp;D354,VCEPReports,4,FALSE))</f>
        <v/>
      </c>
      <c r="D354" s="5">
        <v>102696</v>
      </c>
      <c r="E354" s="5" t="s">
        <v>3</v>
      </c>
      <c r="F354" s="6">
        <v>43322</v>
      </c>
      <c r="G354" s="5" t="s">
        <v>624</v>
      </c>
      <c r="H354" s="5" t="s">
        <v>5</v>
      </c>
      <c r="I354" s="5" t="s">
        <v>6</v>
      </c>
      <c r="J354" s="5" t="s">
        <v>0</v>
      </c>
      <c r="K354" s="5" t="s">
        <v>1</v>
      </c>
      <c r="L354" s="5" t="s">
        <v>2</v>
      </c>
      <c r="M354" s="5" t="s">
        <v>913</v>
      </c>
      <c r="N354" s="5" t="s">
        <v>625</v>
      </c>
      <c r="O354" s="5" t="s">
        <v>8</v>
      </c>
      <c r="P354" s="5" t="s">
        <v>9</v>
      </c>
      <c r="XFD354"/>
    </row>
    <row r="355" spans="1:16 16384:16384" s="5" customFormat="1">
      <c r="A355" s="5" t="str">
        <f t="shared" si="10"/>
        <v>PAH</v>
      </c>
      <c r="B355" s="5" t="str">
        <f t="shared" si="11"/>
        <v>PAH102698</v>
      </c>
      <c r="C355" s="5" t="str">
        <f>IF(ISNA(VLOOKUP(A355&amp;D355,VCEPReports,4,FALSE)),"",VLOOKUP(A355&amp;D355,VCEPReports,4,FALSE))</f>
        <v/>
      </c>
      <c r="D355" s="5">
        <v>102698</v>
      </c>
      <c r="E355" s="5" t="s">
        <v>24</v>
      </c>
      <c r="F355" s="6">
        <v>43325</v>
      </c>
      <c r="G355" s="5" t="s">
        <v>626</v>
      </c>
      <c r="H355" s="5" t="s">
        <v>5</v>
      </c>
      <c r="I355" s="5" t="s">
        <v>6</v>
      </c>
      <c r="J355" s="5" t="s">
        <v>0</v>
      </c>
      <c r="K355" s="5" t="s">
        <v>1</v>
      </c>
      <c r="L355" s="5" t="s">
        <v>2</v>
      </c>
      <c r="M355" s="5" t="s">
        <v>913</v>
      </c>
      <c r="N355" s="5" t="s">
        <v>627</v>
      </c>
      <c r="O355" s="5" t="s">
        <v>8</v>
      </c>
      <c r="P355" s="5" t="s">
        <v>9</v>
      </c>
      <c r="XFD355"/>
    </row>
    <row r="356" spans="1:16 16384:16384" s="5" customFormat="1">
      <c r="A356" s="5" t="str">
        <f t="shared" si="10"/>
        <v>PAH</v>
      </c>
      <c r="B356" s="5" t="str">
        <f t="shared" si="11"/>
        <v>PAH102703</v>
      </c>
      <c r="C356" s="5" t="str">
        <f>IF(ISNA(VLOOKUP(A356&amp;D356,VCEPReports,4,FALSE)),"",VLOOKUP(A356&amp;D356,VCEPReports,4,FALSE))</f>
        <v/>
      </c>
      <c r="D356" s="5">
        <v>102703</v>
      </c>
      <c r="E356" s="5" t="s">
        <v>86</v>
      </c>
      <c r="F356" s="6">
        <v>43325</v>
      </c>
      <c r="G356" s="5" t="s">
        <v>628</v>
      </c>
      <c r="H356" s="5" t="s">
        <v>5</v>
      </c>
      <c r="I356" s="5" t="s">
        <v>6</v>
      </c>
      <c r="J356" s="5" t="s">
        <v>0</v>
      </c>
      <c r="K356" s="5" t="s">
        <v>1</v>
      </c>
      <c r="L356" s="5" t="s">
        <v>2</v>
      </c>
      <c r="M356" s="5" t="s">
        <v>913</v>
      </c>
      <c r="N356" s="5" t="s">
        <v>629</v>
      </c>
      <c r="O356" s="5" t="s">
        <v>8</v>
      </c>
      <c r="P356" s="5" t="s">
        <v>9</v>
      </c>
      <c r="XFD356"/>
    </row>
    <row r="357" spans="1:16 16384:16384" s="5" customFormat="1">
      <c r="A357" s="5" t="str">
        <f t="shared" si="10"/>
        <v>PAH</v>
      </c>
      <c r="B357" s="5" t="str">
        <f t="shared" si="11"/>
        <v>PAH102705</v>
      </c>
      <c r="C357" s="5" t="str">
        <f>IF(ISNA(VLOOKUP(A357&amp;D357,VCEPReports,4,FALSE)),"",VLOOKUP(A357&amp;D357,VCEPReports,4,FALSE))</f>
        <v/>
      </c>
      <c r="D357" s="5">
        <v>102705</v>
      </c>
      <c r="E357" s="5" t="s">
        <v>3</v>
      </c>
      <c r="F357" s="6">
        <v>43322</v>
      </c>
      <c r="G357" s="5" t="s">
        <v>630</v>
      </c>
      <c r="H357" s="5" t="s">
        <v>5</v>
      </c>
      <c r="I357" s="5" t="s">
        <v>6</v>
      </c>
      <c r="J357" s="5" t="s">
        <v>0</v>
      </c>
      <c r="K357" s="5" t="s">
        <v>1</v>
      </c>
      <c r="L357" s="5" t="s">
        <v>2</v>
      </c>
      <c r="M357" s="5" t="s">
        <v>913</v>
      </c>
      <c r="N357" s="5" t="s">
        <v>631</v>
      </c>
      <c r="O357" s="5" t="s">
        <v>8</v>
      </c>
      <c r="P357" s="5" t="s">
        <v>9</v>
      </c>
      <c r="XFD357"/>
    </row>
    <row r="358" spans="1:16 16384:16384" s="5" customFormat="1">
      <c r="A358" s="5" t="str">
        <f t="shared" si="10"/>
        <v>PAH</v>
      </c>
      <c r="B358" s="5" t="str">
        <f t="shared" si="11"/>
        <v>PAH102706</v>
      </c>
      <c r="C358" s="5" t="str">
        <f>IF(ISNA(VLOOKUP(A358&amp;D358,VCEPReports,4,FALSE)),"",VLOOKUP(A358&amp;D358,VCEPReports,4,FALSE))</f>
        <v/>
      </c>
      <c r="D358" s="5">
        <v>102706</v>
      </c>
      <c r="E358" s="5" t="s">
        <v>24</v>
      </c>
      <c r="F358" s="6">
        <v>43322</v>
      </c>
      <c r="G358" s="5" t="s">
        <v>632</v>
      </c>
      <c r="H358" s="5" t="s">
        <v>5</v>
      </c>
      <c r="I358" s="5" t="s">
        <v>6</v>
      </c>
      <c r="J358" s="5" t="s">
        <v>0</v>
      </c>
      <c r="K358" s="5" t="s">
        <v>1</v>
      </c>
      <c r="L358" s="5" t="s">
        <v>2</v>
      </c>
      <c r="M358" s="5" t="s">
        <v>913</v>
      </c>
      <c r="N358" s="5" t="s">
        <v>633</v>
      </c>
      <c r="O358" s="5" t="s">
        <v>8</v>
      </c>
      <c r="P358" s="5" t="s">
        <v>9</v>
      </c>
      <c r="XFD358"/>
    </row>
    <row r="359" spans="1:16 16384:16384" s="5" customFormat="1">
      <c r="A359" s="5" t="str">
        <f t="shared" si="10"/>
        <v>PAH</v>
      </c>
      <c r="B359" s="5" t="str">
        <f t="shared" si="11"/>
        <v>PAH102716</v>
      </c>
      <c r="C359" s="5" t="str">
        <f>IF(ISNA(VLOOKUP(A359&amp;D359,VCEPReports,4,FALSE)),"",VLOOKUP(A359&amp;D359,VCEPReports,4,FALSE))</f>
        <v/>
      </c>
      <c r="D359" s="5">
        <v>102716</v>
      </c>
      <c r="E359" s="5" t="s">
        <v>24</v>
      </c>
      <c r="F359" s="6">
        <v>43322</v>
      </c>
      <c r="G359" s="5" t="s">
        <v>634</v>
      </c>
      <c r="H359" s="5" t="s">
        <v>5</v>
      </c>
      <c r="I359" s="5" t="s">
        <v>6</v>
      </c>
      <c r="J359" s="5" t="s">
        <v>0</v>
      </c>
      <c r="K359" s="5" t="s">
        <v>1</v>
      </c>
      <c r="L359" s="5" t="s">
        <v>2</v>
      </c>
      <c r="M359" s="5" t="s">
        <v>913</v>
      </c>
      <c r="N359" s="5" t="s">
        <v>635</v>
      </c>
      <c r="O359" s="5" t="s">
        <v>8</v>
      </c>
      <c r="P359" s="5" t="s">
        <v>9</v>
      </c>
      <c r="XFD359"/>
    </row>
    <row r="360" spans="1:16 16384:16384" s="5" customFormat="1">
      <c r="A360" s="5" t="str">
        <f t="shared" si="10"/>
        <v>PAH</v>
      </c>
      <c r="B360" s="5" t="str">
        <f t="shared" si="11"/>
        <v>PAH102720</v>
      </c>
      <c r="C360" s="5" t="str">
        <f>IF(ISNA(VLOOKUP(A360&amp;D360,VCEPReports,4,FALSE)),"",VLOOKUP(A360&amp;D360,VCEPReports,4,FALSE))</f>
        <v/>
      </c>
      <c r="D360" s="5">
        <v>102720</v>
      </c>
      <c r="E360" s="5" t="s">
        <v>24</v>
      </c>
      <c r="F360" s="6">
        <v>43322</v>
      </c>
      <c r="G360" s="5" t="s">
        <v>636</v>
      </c>
      <c r="H360" s="5" t="s">
        <v>5</v>
      </c>
      <c r="I360" s="5" t="s">
        <v>6</v>
      </c>
      <c r="J360" s="5" t="s">
        <v>0</v>
      </c>
      <c r="K360" s="5" t="s">
        <v>1</v>
      </c>
      <c r="L360" s="5" t="s">
        <v>2</v>
      </c>
      <c r="M360" s="5" t="s">
        <v>913</v>
      </c>
      <c r="N360" s="5" t="s">
        <v>637</v>
      </c>
      <c r="O360" s="5" t="s">
        <v>8</v>
      </c>
      <c r="P360" s="5" t="s">
        <v>9</v>
      </c>
      <c r="XFD360"/>
    </row>
    <row r="361" spans="1:16 16384:16384" s="5" customFormat="1">
      <c r="A361" s="5" t="str">
        <f t="shared" si="10"/>
        <v>PAH</v>
      </c>
      <c r="B361" s="5" t="str">
        <f t="shared" si="11"/>
        <v>PAH102723</v>
      </c>
      <c r="C361" s="5" t="str">
        <f>IF(ISNA(VLOOKUP(A361&amp;D361,VCEPReports,4,FALSE)),"",VLOOKUP(A361&amp;D361,VCEPReports,4,FALSE))</f>
        <v/>
      </c>
      <c r="D361" s="5">
        <v>102723</v>
      </c>
      <c r="E361" s="5" t="s">
        <v>3</v>
      </c>
      <c r="F361" s="6">
        <v>43325</v>
      </c>
      <c r="G361" s="5" t="s">
        <v>638</v>
      </c>
      <c r="H361" s="5" t="s">
        <v>5</v>
      </c>
      <c r="I361" s="5" t="s">
        <v>6</v>
      </c>
      <c r="J361" s="5" t="s">
        <v>0</v>
      </c>
      <c r="K361" s="5" t="s">
        <v>1</v>
      </c>
      <c r="L361" s="5" t="s">
        <v>2</v>
      </c>
      <c r="M361" s="5" t="s">
        <v>913</v>
      </c>
      <c r="N361" s="5" t="s">
        <v>639</v>
      </c>
      <c r="O361" s="5" t="s">
        <v>8</v>
      </c>
      <c r="P361" s="5" t="s">
        <v>9</v>
      </c>
      <c r="XFD361"/>
    </row>
    <row r="362" spans="1:16 16384:16384" s="5" customFormat="1">
      <c r="A362" s="5" t="str">
        <f t="shared" si="10"/>
        <v>PAH</v>
      </c>
      <c r="B362" s="5" t="str">
        <f t="shared" si="11"/>
        <v>PAH102729</v>
      </c>
      <c r="C362" s="5" t="str">
        <f>IF(ISNA(VLOOKUP(A362&amp;D362,VCEPReports,4,FALSE)),"",VLOOKUP(A362&amp;D362,VCEPReports,4,FALSE))</f>
        <v/>
      </c>
      <c r="D362" s="5">
        <v>102729</v>
      </c>
      <c r="E362" s="5" t="s">
        <v>24</v>
      </c>
      <c r="F362" s="6">
        <v>43322</v>
      </c>
      <c r="G362" s="5" t="s">
        <v>640</v>
      </c>
      <c r="H362" s="5" t="s">
        <v>5</v>
      </c>
      <c r="I362" s="5" t="s">
        <v>6</v>
      </c>
      <c r="J362" s="5" t="s">
        <v>0</v>
      </c>
      <c r="K362" s="5" t="s">
        <v>1</v>
      </c>
      <c r="L362" s="5" t="s">
        <v>2</v>
      </c>
      <c r="M362" s="5" t="s">
        <v>913</v>
      </c>
      <c r="N362" s="5" t="s">
        <v>641</v>
      </c>
      <c r="O362" s="5" t="s">
        <v>8</v>
      </c>
      <c r="P362" s="5" t="s">
        <v>9</v>
      </c>
      <c r="XFD362"/>
    </row>
    <row r="363" spans="1:16 16384:16384" s="5" customFormat="1">
      <c r="A363" s="5" t="str">
        <f t="shared" si="10"/>
        <v>PAH</v>
      </c>
      <c r="B363" s="5" t="str">
        <f t="shared" si="11"/>
        <v>PAH102736</v>
      </c>
      <c r="C363" s="5" t="str">
        <f>IF(ISNA(VLOOKUP(A363&amp;D363,VCEPReports,4,FALSE)),"",VLOOKUP(A363&amp;D363,VCEPReports,4,FALSE))</f>
        <v/>
      </c>
      <c r="D363" s="5">
        <v>102736</v>
      </c>
      <c r="E363" s="5" t="s">
        <v>3</v>
      </c>
      <c r="F363" s="6">
        <v>43322</v>
      </c>
      <c r="G363" s="5" t="s">
        <v>642</v>
      </c>
      <c r="H363" s="5" t="s">
        <v>5</v>
      </c>
      <c r="I363" s="5" t="s">
        <v>6</v>
      </c>
      <c r="J363" s="5" t="s">
        <v>0</v>
      </c>
      <c r="K363" s="5" t="s">
        <v>1</v>
      </c>
      <c r="L363" s="5" t="s">
        <v>2</v>
      </c>
      <c r="M363" s="5" t="s">
        <v>913</v>
      </c>
      <c r="N363" s="5" t="s">
        <v>643</v>
      </c>
      <c r="O363" s="5" t="s">
        <v>8</v>
      </c>
      <c r="P363" s="5" t="s">
        <v>9</v>
      </c>
      <c r="XFD363"/>
    </row>
    <row r="364" spans="1:16 16384:16384" s="5" customFormat="1">
      <c r="A364" s="5" t="str">
        <f t="shared" si="10"/>
        <v>PAH</v>
      </c>
      <c r="B364" s="5" t="str">
        <f t="shared" si="11"/>
        <v>PAH102742</v>
      </c>
      <c r="C364" s="5" t="str">
        <f>IF(ISNA(VLOOKUP(A364&amp;D364,VCEPReports,4,FALSE)),"",VLOOKUP(A364&amp;D364,VCEPReports,4,FALSE))</f>
        <v/>
      </c>
      <c r="D364" s="5">
        <v>102742</v>
      </c>
      <c r="E364" s="5" t="s">
        <v>24</v>
      </c>
      <c r="F364" s="6">
        <v>43325</v>
      </c>
      <c r="G364" s="5" t="s">
        <v>644</v>
      </c>
      <c r="H364" s="5" t="s">
        <v>5</v>
      </c>
      <c r="I364" s="5" t="s">
        <v>6</v>
      </c>
      <c r="J364" s="5" t="s">
        <v>0</v>
      </c>
      <c r="K364" s="5" t="s">
        <v>1</v>
      </c>
      <c r="L364" s="5" t="s">
        <v>2</v>
      </c>
      <c r="M364" s="5" t="s">
        <v>913</v>
      </c>
      <c r="N364" s="5" t="s">
        <v>645</v>
      </c>
      <c r="O364" s="5" t="s">
        <v>8</v>
      </c>
      <c r="P364" s="5" t="s">
        <v>9</v>
      </c>
      <c r="XFD364"/>
    </row>
    <row r="365" spans="1:16 16384:16384" s="5" customFormat="1">
      <c r="A365" s="5" t="str">
        <f t="shared" si="10"/>
        <v>PAH</v>
      </c>
      <c r="B365" s="5" t="str">
        <f t="shared" si="11"/>
        <v>PAH102784</v>
      </c>
      <c r="C365" s="5" t="str">
        <f>IF(ISNA(VLOOKUP(A365&amp;D365,VCEPReports,4,FALSE)),"",VLOOKUP(A365&amp;D365,VCEPReports,4,FALSE))</f>
        <v/>
      </c>
      <c r="D365" s="5">
        <v>102784</v>
      </c>
      <c r="E365" s="5" t="s">
        <v>24</v>
      </c>
      <c r="F365" s="6">
        <v>43324</v>
      </c>
      <c r="G365" s="5" t="s">
        <v>646</v>
      </c>
      <c r="H365" s="5" t="s">
        <v>5</v>
      </c>
      <c r="I365" s="5" t="s">
        <v>6</v>
      </c>
      <c r="J365" s="5" t="s">
        <v>0</v>
      </c>
      <c r="K365" s="5" t="s">
        <v>1</v>
      </c>
      <c r="L365" s="5" t="s">
        <v>2</v>
      </c>
      <c r="M365" s="5" t="s">
        <v>913</v>
      </c>
      <c r="N365" s="5" t="s">
        <v>647</v>
      </c>
      <c r="O365" s="5" t="s">
        <v>8</v>
      </c>
      <c r="P365" s="5" t="s">
        <v>9</v>
      </c>
      <c r="XFD365"/>
    </row>
    <row r="366" spans="1:16 16384:16384" s="5" customFormat="1">
      <c r="A366" s="5" t="str">
        <f t="shared" si="10"/>
        <v>PAH</v>
      </c>
      <c r="B366" s="5" t="str">
        <f t="shared" si="11"/>
        <v>PAH102795</v>
      </c>
      <c r="C366" s="5" t="str">
        <f>IF(ISNA(VLOOKUP(A366&amp;D366,VCEPReports,4,FALSE)),"",VLOOKUP(A366&amp;D366,VCEPReports,4,FALSE))</f>
        <v/>
      </c>
      <c r="D366" s="5">
        <v>102795</v>
      </c>
      <c r="E366" s="5" t="s">
        <v>65</v>
      </c>
      <c r="F366" s="6">
        <v>43322</v>
      </c>
      <c r="G366" s="5" t="s">
        <v>648</v>
      </c>
      <c r="H366" s="5" t="s">
        <v>5</v>
      </c>
      <c r="I366" s="5" t="s">
        <v>6</v>
      </c>
      <c r="J366" s="5" t="s">
        <v>0</v>
      </c>
      <c r="K366" s="5" t="s">
        <v>1</v>
      </c>
      <c r="L366" s="5" t="s">
        <v>2</v>
      </c>
      <c r="M366" s="5" t="s">
        <v>913</v>
      </c>
      <c r="N366" s="5" t="s">
        <v>649</v>
      </c>
      <c r="O366" s="5" t="s">
        <v>8</v>
      </c>
      <c r="P366" s="5" t="s">
        <v>9</v>
      </c>
      <c r="XFD366"/>
    </row>
    <row r="367" spans="1:16 16384:16384" s="5" customFormat="1">
      <c r="A367" s="5" t="str">
        <f t="shared" si="10"/>
        <v>PAH</v>
      </c>
      <c r="B367" s="5" t="str">
        <f t="shared" si="11"/>
        <v>PAH102803</v>
      </c>
      <c r="C367" s="5" t="str">
        <f>IF(ISNA(VLOOKUP(A367&amp;D367,VCEPReports,4,FALSE)),"",VLOOKUP(A367&amp;D367,VCEPReports,4,FALSE))</f>
        <v/>
      </c>
      <c r="D367" s="5">
        <v>102803</v>
      </c>
      <c r="E367" s="5" t="s">
        <v>3</v>
      </c>
      <c r="F367" s="6">
        <v>43322</v>
      </c>
      <c r="G367" s="5" t="s">
        <v>650</v>
      </c>
      <c r="H367" s="5" t="s">
        <v>5</v>
      </c>
      <c r="I367" s="5" t="s">
        <v>6</v>
      </c>
      <c r="J367" s="5" t="s">
        <v>0</v>
      </c>
      <c r="K367" s="5" t="s">
        <v>1</v>
      </c>
      <c r="L367" s="5" t="s">
        <v>2</v>
      </c>
      <c r="M367" s="5" t="s">
        <v>913</v>
      </c>
      <c r="N367" s="5" t="s">
        <v>651</v>
      </c>
      <c r="O367" s="5" t="s">
        <v>8</v>
      </c>
      <c r="P367" s="5" t="s">
        <v>9</v>
      </c>
      <c r="XFD367"/>
    </row>
    <row r="368" spans="1:16 16384:16384" s="5" customFormat="1">
      <c r="A368" s="5" t="str">
        <f t="shared" si="10"/>
        <v>PAH</v>
      </c>
      <c r="B368" s="5" t="str">
        <f t="shared" si="11"/>
        <v>PAH102804</v>
      </c>
      <c r="C368" s="5" t="str">
        <f>IF(ISNA(VLOOKUP(A368&amp;D368,VCEPReports,4,FALSE)),"",VLOOKUP(A368&amp;D368,VCEPReports,4,FALSE))</f>
        <v/>
      </c>
      <c r="D368" s="5">
        <v>102804</v>
      </c>
      <c r="E368" s="5" t="s">
        <v>3</v>
      </c>
      <c r="F368" s="6">
        <v>43322</v>
      </c>
      <c r="G368" s="5" t="s">
        <v>652</v>
      </c>
      <c r="H368" s="5" t="s">
        <v>5</v>
      </c>
      <c r="I368" s="5" t="s">
        <v>6</v>
      </c>
      <c r="J368" s="5" t="s">
        <v>0</v>
      </c>
      <c r="K368" s="5" t="s">
        <v>1</v>
      </c>
      <c r="L368" s="5" t="s">
        <v>2</v>
      </c>
      <c r="M368" s="5" t="s">
        <v>913</v>
      </c>
      <c r="N368" s="5" t="s">
        <v>653</v>
      </c>
      <c r="O368" s="5" t="s">
        <v>8</v>
      </c>
      <c r="P368" s="5" t="s">
        <v>9</v>
      </c>
      <c r="XFD368"/>
    </row>
    <row r="369" spans="1:16 16384:16384" s="5" customFormat="1">
      <c r="A369" s="5" t="str">
        <f t="shared" si="10"/>
        <v>PAH</v>
      </c>
      <c r="B369" s="5" t="str">
        <f t="shared" si="11"/>
        <v>PAH102821</v>
      </c>
      <c r="C369" s="5" t="str">
        <f>IF(ISNA(VLOOKUP(A369&amp;D369,VCEPReports,4,FALSE)),"",VLOOKUP(A369&amp;D369,VCEPReports,4,FALSE))</f>
        <v/>
      </c>
      <c r="D369" s="5">
        <v>102821</v>
      </c>
      <c r="E369" s="5" t="s">
        <v>3</v>
      </c>
      <c r="F369" s="6">
        <v>43324</v>
      </c>
      <c r="G369" s="5" t="s">
        <v>654</v>
      </c>
      <c r="H369" s="5" t="s">
        <v>5</v>
      </c>
      <c r="I369" s="5" t="s">
        <v>6</v>
      </c>
      <c r="J369" s="5" t="s">
        <v>0</v>
      </c>
      <c r="K369" s="5" t="s">
        <v>1</v>
      </c>
      <c r="L369" s="5" t="s">
        <v>2</v>
      </c>
      <c r="M369" s="5" t="s">
        <v>913</v>
      </c>
      <c r="N369" s="5" t="s">
        <v>655</v>
      </c>
      <c r="O369" s="5" t="s">
        <v>8</v>
      </c>
      <c r="P369" s="5" t="s">
        <v>9</v>
      </c>
      <c r="XFD369"/>
    </row>
    <row r="370" spans="1:16 16384:16384" s="5" customFormat="1">
      <c r="A370" s="5" t="str">
        <f t="shared" si="10"/>
        <v>PAH</v>
      </c>
      <c r="B370" s="5" t="str">
        <f t="shared" si="11"/>
        <v>PAH102824</v>
      </c>
      <c r="C370" s="5" t="str">
        <f>IF(ISNA(VLOOKUP(A370&amp;D370,VCEPReports,4,FALSE)),"",VLOOKUP(A370&amp;D370,VCEPReports,4,FALSE))</f>
        <v/>
      </c>
      <c r="D370" s="5">
        <v>102824</v>
      </c>
      <c r="E370" s="5" t="s">
        <v>3</v>
      </c>
      <c r="F370" s="6">
        <v>43322</v>
      </c>
      <c r="G370" s="5" t="s">
        <v>656</v>
      </c>
      <c r="H370" s="5" t="s">
        <v>5</v>
      </c>
      <c r="I370" s="5" t="s">
        <v>6</v>
      </c>
      <c r="J370" s="5" t="s">
        <v>0</v>
      </c>
      <c r="K370" s="5" t="s">
        <v>1</v>
      </c>
      <c r="L370" s="5" t="s">
        <v>2</v>
      </c>
      <c r="M370" s="5" t="s">
        <v>913</v>
      </c>
      <c r="N370" s="5" t="s">
        <v>657</v>
      </c>
      <c r="O370" s="5" t="s">
        <v>8</v>
      </c>
      <c r="P370" s="5" t="s">
        <v>9</v>
      </c>
      <c r="XFD370"/>
    </row>
    <row r="371" spans="1:16 16384:16384" s="5" customFormat="1">
      <c r="A371" s="5" t="str">
        <f t="shared" si="10"/>
        <v>PAH</v>
      </c>
      <c r="B371" s="5" t="str">
        <f t="shared" si="11"/>
        <v>PAH102844</v>
      </c>
      <c r="C371" s="5" t="str">
        <f>IF(ISNA(VLOOKUP(A371&amp;D371,VCEPReports,4,FALSE)),"",VLOOKUP(A371&amp;D371,VCEPReports,4,FALSE))</f>
        <v/>
      </c>
      <c r="D371" s="5">
        <v>102844</v>
      </c>
      <c r="E371" s="5" t="s">
        <v>3</v>
      </c>
      <c r="F371" s="6">
        <v>43322</v>
      </c>
      <c r="G371" s="5" t="s">
        <v>658</v>
      </c>
      <c r="H371" s="5" t="s">
        <v>5</v>
      </c>
      <c r="I371" s="5" t="s">
        <v>6</v>
      </c>
      <c r="J371" s="5" t="s">
        <v>0</v>
      </c>
      <c r="K371" s="5" t="s">
        <v>1</v>
      </c>
      <c r="L371" s="5" t="s">
        <v>2</v>
      </c>
      <c r="M371" s="5" t="s">
        <v>913</v>
      </c>
      <c r="N371" s="5" t="s">
        <v>659</v>
      </c>
      <c r="O371" s="5" t="s">
        <v>8</v>
      </c>
      <c r="P371" s="5" t="s">
        <v>9</v>
      </c>
      <c r="XFD371"/>
    </row>
    <row r="372" spans="1:16 16384:16384" s="5" customFormat="1">
      <c r="A372" s="5" t="str">
        <f t="shared" si="10"/>
        <v>PAH</v>
      </c>
      <c r="B372" s="5" t="str">
        <f t="shared" si="11"/>
        <v>PAH102851</v>
      </c>
      <c r="C372" s="5" t="str">
        <f>IF(ISNA(VLOOKUP(A372&amp;D372,VCEPReports,4,FALSE)),"",VLOOKUP(A372&amp;D372,VCEPReports,4,FALSE))</f>
        <v/>
      </c>
      <c r="D372" s="5">
        <v>102851</v>
      </c>
      <c r="E372" s="5" t="s">
        <v>212</v>
      </c>
      <c r="F372" s="6">
        <v>43322</v>
      </c>
      <c r="G372" s="5" t="s">
        <v>660</v>
      </c>
      <c r="H372" s="5" t="s">
        <v>5</v>
      </c>
      <c r="I372" s="5" t="s">
        <v>6</v>
      </c>
      <c r="J372" s="5" t="s">
        <v>0</v>
      </c>
      <c r="K372" s="5" t="s">
        <v>1</v>
      </c>
      <c r="L372" s="5" t="s">
        <v>2</v>
      </c>
      <c r="M372" s="5" t="s">
        <v>913</v>
      </c>
      <c r="N372" s="5" t="s">
        <v>661</v>
      </c>
      <c r="O372" s="5" t="s">
        <v>8</v>
      </c>
      <c r="P372" s="5" t="s">
        <v>9</v>
      </c>
      <c r="XFD372"/>
    </row>
    <row r="373" spans="1:16 16384:16384" s="5" customFormat="1">
      <c r="A373" s="5" t="str">
        <f t="shared" si="10"/>
        <v>PAH</v>
      </c>
      <c r="B373" s="5" t="str">
        <f t="shared" si="11"/>
        <v>PAH102871</v>
      </c>
      <c r="C373" s="5" t="str">
        <f>IF(ISNA(VLOOKUP(A373&amp;D373,VCEPReports,4,FALSE)),"",VLOOKUP(A373&amp;D373,VCEPReports,4,FALSE))</f>
        <v/>
      </c>
      <c r="D373" s="5">
        <v>102871</v>
      </c>
      <c r="E373" s="5" t="s">
        <v>24</v>
      </c>
      <c r="F373" s="6">
        <v>43354</v>
      </c>
      <c r="G373" s="5" t="s">
        <v>662</v>
      </c>
      <c r="H373" s="5" t="s">
        <v>5</v>
      </c>
      <c r="I373" s="5" t="s">
        <v>6</v>
      </c>
      <c r="J373" s="5" t="s">
        <v>0</v>
      </c>
      <c r="K373" s="5" t="s">
        <v>1</v>
      </c>
      <c r="L373" s="5" t="s">
        <v>2</v>
      </c>
      <c r="M373" s="5" t="s">
        <v>913</v>
      </c>
      <c r="N373" s="5" t="s">
        <v>663</v>
      </c>
      <c r="O373" s="5" t="s">
        <v>8</v>
      </c>
      <c r="P373" s="5" t="s">
        <v>9</v>
      </c>
      <c r="XFD373"/>
    </row>
    <row r="374" spans="1:16 16384:16384" s="5" customFormat="1">
      <c r="A374" s="5" t="str">
        <f t="shared" si="10"/>
        <v>PAH</v>
      </c>
      <c r="B374" s="5" t="str">
        <f t="shared" si="11"/>
        <v>PAH102911</v>
      </c>
      <c r="C374" s="5" t="str">
        <f>IF(ISNA(VLOOKUP(A374&amp;D374,VCEPReports,4,FALSE)),"",VLOOKUP(A374&amp;D374,VCEPReports,4,FALSE))</f>
        <v/>
      </c>
      <c r="D374" s="5">
        <v>102911</v>
      </c>
      <c r="E374" s="5" t="s">
        <v>65</v>
      </c>
      <c r="F374" s="6">
        <v>43310</v>
      </c>
      <c r="G374" s="5" t="s">
        <v>664</v>
      </c>
      <c r="H374" s="5" t="s">
        <v>5</v>
      </c>
      <c r="I374" s="5" t="s">
        <v>6</v>
      </c>
      <c r="J374" s="5" t="s">
        <v>0</v>
      </c>
      <c r="K374" s="5" t="s">
        <v>1</v>
      </c>
      <c r="L374" s="5" t="s">
        <v>2</v>
      </c>
      <c r="M374" s="5" t="s">
        <v>913</v>
      </c>
      <c r="N374" s="5" t="s">
        <v>665</v>
      </c>
      <c r="O374" s="5" t="s">
        <v>8</v>
      </c>
      <c r="P374" s="5" t="s">
        <v>9</v>
      </c>
      <c r="XFD374"/>
    </row>
    <row r="375" spans="1:16 16384:16384" s="5" customFormat="1">
      <c r="A375" s="5" t="str">
        <f t="shared" si="10"/>
        <v>PAH</v>
      </c>
      <c r="B375" s="5" t="str">
        <f t="shared" si="11"/>
        <v>PAH102913</v>
      </c>
      <c r="C375" s="5" t="str">
        <f>IF(ISNA(VLOOKUP(A375&amp;D375,VCEPReports,4,FALSE)),"",VLOOKUP(A375&amp;D375,VCEPReports,4,FALSE))</f>
        <v/>
      </c>
      <c r="D375" s="5">
        <v>102913</v>
      </c>
      <c r="E375" s="5" t="s">
        <v>3</v>
      </c>
      <c r="F375" s="6">
        <v>43322</v>
      </c>
      <c r="G375" s="5" t="s">
        <v>666</v>
      </c>
      <c r="H375" s="5" t="s">
        <v>5</v>
      </c>
      <c r="I375" s="5" t="s">
        <v>6</v>
      </c>
      <c r="J375" s="5" t="s">
        <v>0</v>
      </c>
      <c r="K375" s="5" t="s">
        <v>1</v>
      </c>
      <c r="L375" s="5" t="s">
        <v>2</v>
      </c>
      <c r="M375" s="5" t="s">
        <v>913</v>
      </c>
      <c r="N375" s="5" t="s">
        <v>667</v>
      </c>
      <c r="O375" s="5" t="s">
        <v>8</v>
      </c>
      <c r="P375" s="5" t="s">
        <v>9</v>
      </c>
      <c r="XFD375"/>
    </row>
    <row r="376" spans="1:16 16384:16384" s="5" customFormat="1">
      <c r="A376" s="5" t="str">
        <f t="shared" si="10"/>
        <v>PAH</v>
      </c>
      <c r="B376" s="5" t="str">
        <f t="shared" si="11"/>
        <v>PAH120271</v>
      </c>
      <c r="C376" s="5" t="str">
        <f>IF(ISNA(VLOOKUP(A376&amp;D376,VCEPReports,4,FALSE)),"",VLOOKUP(A376&amp;D376,VCEPReports,4,FALSE))</f>
        <v/>
      </c>
      <c r="D376" s="5">
        <v>120271</v>
      </c>
      <c r="E376" s="5" t="s">
        <v>86</v>
      </c>
      <c r="F376" s="6">
        <v>43371</v>
      </c>
      <c r="G376" s="5" t="s">
        <v>668</v>
      </c>
      <c r="H376" s="5" t="s">
        <v>5</v>
      </c>
      <c r="I376" s="5" t="s">
        <v>6</v>
      </c>
      <c r="J376" s="5" t="s">
        <v>0</v>
      </c>
      <c r="K376" s="5" t="s">
        <v>1</v>
      </c>
      <c r="L376" s="5" t="s">
        <v>2</v>
      </c>
      <c r="M376" s="5" t="s">
        <v>913</v>
      </c>
      <c r="N376" s="5" t="s">
        <v>669</v>
      </c>
      <c r="O376" s="5" t="s">
        <v>8</v>
      </c>
      <c r="P376" s="5" t="s">
        <v>9</v>
      </c>
      <c r="XFD376"/>
    </row>
    <row r="377" spans="1:16 16384:16384" s="5" customFormat="1">
      <c r="A377" s="5" t="str">
        <f t="shared" si="10"/>
        <v>PAH</v>
      </c>
      <c r="B377" s="5" t="str">
        <f t="shared" si="11"/>
        <v>PAH120273</v>
      </c>
      <c r="C377" s="5" t="str">
        <f>IF(ISNA(VLOOKUP(A377&amp;D377,VCEPReports,4,FALSE)),"",VLOOKUP(A377&amp;D377,VCEPReports,4,FALSE))</f>
        <v/>
      </c>
      <c r="D377" s="5">
        <v>120273</v>
      </c>
      <c r="E377" s="5" t="s">
        <v>86</v>
      </c>
      <c r="F377" s="6">
        <v>43371</v>
      </c>
      <c r="G377" s="5" t="s">
        <v>670</v>
      </c>
      <c r="H377" s="5" t="s">
        <v>5</v>
      </c>
      <c r="I377" s="5" t="s">
        <v>6</v>
      </c>
      <c r="J377" s="5" t="s">
        <v>0</v>
      </c>
      <c r="K377" s="5" t="s">
        <v>1</v>
      </c>
      <c r="L377" s="5" t="s">
        <v>2</v>
      </c>
      <c r="M377" s="5" t="s">
        <v>913</v>
      </c>
      <c r="N377" s="5" t="s">
        <v>671</v>
      </c>
      <c r="O377" s="5" t="s">
        <v>8</v>
      </c>
      <c r="P377" s="5" t="s">
        <v>9</v>
      </c>
      <c r="XFD377"/>
    </row>
    <row r="378" spans="1:16 16384:16384" s="5" customFormat="1">
      <c r="A378" s="5" t="str">
        <f t="shared" si="10"/>
        <v>PAH</v>
      </c>
      <c r="B378" s="5" t="str">
        <f t="shared" si="11"/>
        <v>PAH120287</v>
      </c>
      <c r="C378" s="5" t="str">
        <f>IF(ISNA(VLOOKUP(A378&amp;D378,VCEPReports,4,FALSE)),"",VLOOKUP(A378&amp;D378,VCEPReports,4,FALSE))</f>
        <v/>
      </c>
      <c r="D378" s="5">
        <v>120287</v>
      </c>
      <c r="E378" s="5" t="s">
        <v>86</v>
      </c>
      <c r="F378" s="6">
        <v>43322</v>
      </c>
      <c r="G378" s="5" t="s">
        <v>672</v>
      </c>
      <c r="H378" s="5" t="s">
        <v>5</v>
      </c>
      <c r="I378" s="5" t="s">
        <v>6</v>
      </c>
      <c r="J378" s="5" t="s">
        <v>0</v>
      </c>
      <c r="K378" s="5" t="s">
        <v>1</v>
      </c>
      <c r="L378" s="5" t="s">
        <v>2</v>
      </c>
      <c r="M378" s="5" t="s">
        <v>913</v>
      </c>
      <c r="N378" s="5" t="s">
        <v>673</v>
      </c>
      <c r="O378" s="5" t="s">
        <v>8</v>
      </c>
      <c r="P378" s="5" t="s">
        <v>9</v>
      </c>
      <c r="XFD378"/>
    </row>
    <row r="379" spans="1:16 16384:16384" s="5" customFormat="1">
      <c r="A379" s="5" t="str">
        <f t="shared" si="10"/>
        <v>PTEN</v>
      </c>
      <c r="B379" s="5" t="str">
        <f t="shared" si="11"/>
        <v>PTEN127661</v>
      </c>
      <c r="C379" s="5" t="str">
        <f>IF(ISNA(VLOOKUP(A379&amp;D379,VCEPReports,4,FALSE)),"",VLOOKUP(A379&amp;D379,VCEPReports,4,FALSE))</f>
        <v>b49fa554-1a60-419c-8931-6cdc5564285c</v>
      </c>
      <c r="D379" s="5">
        <v>127661</v>
      </c>
      <c r="E379" s="5" t="s">
        <v>212</v>
      </c>
      <c r="F379" s="6">
        <v>43196</v>
      </c>
      <c r="G379" s="5" t="s">
        <v>936</v>
      </c>
      <c r="H379" s="5" t="s">
        <v>95</v>
      </c>
      <c r="I379" s="5" t="s">
        <v>96</v>
      </c>
      <c r="J379" s="5" t="s">
        <v>0</v>
      </c>
      <c r="K379" s="5" t="s">
        <v>1</v>
      </c>
      <c r="L379" s="5" t="s">
        <v>2</v>
      </c>
      <c r="M379" s="5" t="s">
        <v>917</v>
      </c>
      <c r="N379" s="5" t="s">
        <v>937</v>
      </c>
      <c r="O379" s="5" t="s">
        <v>98</v>
      </c>
      <c r="P379" s="5" t="s">
        <v>9</v>
      </c>
      <c r="XFD379"/>
    </row>
    <row r="380" spans="1:16 16384:16384" s="5" customFormat="1">
      <c r="A380" s="5" t="str">
        <f t="shared" si="10"/>
        <v>PTEN</v>
      </c>
      <c r="B380" s="5" t="str">
        <f t="shared" si="11"/>
        <v>PTEN127662</v>
      </c>
      <c r="C380" s="5" t="str">
        <f>IF(ISNA(VLOOKUP(A380&amp;D380,VCEPReports,4,FALSE)),"",VLOOKUP(A380&amp;D380,VCEPReports,4,FALSE))</f>
        <v>8c50af60-fe53-4c9b-b60a-3735d21c8645</v>
      </c>
      <c r="D380" s="5">
        <v>127662</v>
      </c>
      <c r="E380" s="5" t="s">
        <v>86</v>
      </c>
      <c r="F380" s="6">
        <v>43047</v>
      </c>
      <c r="G380" s="5" t="s">
        <v>674</v>
      </c>
      <c r="H380" s="5" t="s">
        <v>95</v>
      </c>
      <c r="I380" s="5" t="s">
        <v>96</v>
      </c>
      <c r="J380" s="5" t="s">
        <v>0</v>
      </c>
      <c r="K380" s="5" t="s">
        <v>1</v>
      </c>
      <c r="L380" s="5" t="s">
        <v>2</v>
      </c>
      <c r="M380" s="5" t="s">
        <v>917</v>
      </c>
      <c r="N380" s="5" t="s">
        <v>675</v>
      </c>
      <c r="O380" s="5" t="s">
        <v>98</v>
      </c>
      <c r="P380" s="5" t="s">
        <v>9</v>
      </c>
      <c r="XFD380"/>
    </row>
    <row r="381" spans="1:16 16384:16384" s="5" customFormat="1">
      <c r="A381" s="5" t="str">
        <f t="shared" si="10"/>
        <v>PTEN</v>
      </c>
      <c r="B381" s="5" t="str">
        <f t="shared" si="11"/>
        <v>PTEN127667</v>
      </c>
      <c r="C381" s="5" t="str">
        <f>IF(ISNA(VLOOKUP(A381&amp;D381,VCEPReports,4,FALSE)),"",VLOOKUP(A381&amp;D381,VCEPReports,4,FALSE))</f>
        <v>eb4d52da-5b73-477e-9890-d8c613ea7ae5</v>
      </c>
      <c r="D381" s="5">
        <v>127667</v>
      </c>
      <c r="E381" s="5" t="s">
        <v>65</v>
      </c>
      <c r="F381" s="6">
        <v>42888</v>
      </c>
      <c r="G381" s="5" t="s">
        <v>676</v>
      </c>
      <c r="H381" s="5" t="s">
        <v>95</v>
      </c>
      <c r="I381" s="5" t="s">
        <v>96</v>
      </c>
      <c r="J381" s="5" t="s">
        <v>0</v>
      </c>
      <c r="K381" s="5" t="s">
        <v>1</v>
      </c>
      <c r="L381" s="5" t="s">
        <v>2</v>
      </c>
      <c r="M381" s="5" t="s">
        <v>917</v>
      </c>
      <c r="N381" s="5" t="s">
        <v>677</v>
      </c>
      <c r="O381" s="5" t="s">
        <v>98</v>
      </c>
      <c r="P381" s="5" t="s">
        <v>9</v>
      </c>
      <c r="XFD381"/>
    </row>
    <row r="382" spans="1:16 16384:16384" s="5" customFormat="1">
      <c r="A382" s="5" t="str">
        <f t="shared" si="10"/>
        <v>PTEN</v>
      </c>
      <c r="B382" s="5" t="str">
        <f t="shared" si="11"/>
        <v>PTEN127674</v>
      </c>
      <c r="C382" s="5" t="str">
        <f>IF(ISNA(VLOOKUP(A382&amp;D382,VCEPReports,4,FALSE)),"",VLOOKUP(A382&amp;D382,VCEPReports,4,FALSE))</f>
        <v>400140b3-b081-46b3-8b10-03492bb903d0</v>
      </c>
      <c r="D382" s="5">
        <v>127674</v>
      </c>
      <c r="E382" s="5" t="s">
        <v>86</v>
      </c>
      <c r="F382" s="6">
        <v>43196</v>
      </c>
      <c r="G382" s="5" t="s">
        <v>938</v>
      </c>
      <c r="H382" s="5" t="s">
        <v>95</v>
      </c>
      <c r="I382" s="5" t="s">
        <v>96</v>
      </c>
      <c r="J382" s="5" t="s">
        <v>0</v>
      </c>
      <c r="K382" s="5" t="s">
        <v>1</v>
      </c>
      <c r="L382" s="5" t="s">
        <v>2</v>
      </c>
      <c r="M382" s="5" t="s">
        <v>917</v>
      </c>
      <c r="N382" s="5" t="s">
        <v>939</v>
      </c>
      <c r="O382" s="5" t="s">
        <v>98</v>
      </c>
      <c r="P382" s="5" t="s">
        <v>9</v>
      </c>
      <c r="XFD382"/>
    </row>
    <row r="383" spans="1:16 16384:16384" s="5" customFormat="1">
      <c r="A383" s="5" t="str">
        <f t="shared" si="10"/>
        <v>PTEN</v>
      </c>
      <c r="B383" s="5" t="str">
        <f t="shared" si="11"/>
        <v>PTEN127687</v>
      </c>
      <c r="C383" s="5" t="str">
        <f>IF(ISNA(VLOOKUP(A383&amp;D383,VCEPReports,4,FALSE)),"",VLOOKUP(A383&amp;D383,VCEPReports,4,FALSE))</f>
        <v>ba4a2bab-161e-445b-a38c-7ef4639e08a9</v>
      </c>
      <c r="D383" s="5">
        <v>127687</v>
      </c>
      <c r="E383" s="5" t="s">
        <v>86</v>
      </c>
      <c r="F383" s="6">
        <v>43047</v>
      </c>
      <c r="G383" s="5" t="s">
        <v>678</v>
      </c>
      <c r="H383" s="5" t="s">
        <v>95</v>
      </c>
      <c r="I383" s="5" t="s">
        <v>96</v>
      </c>
      <c r="J383" s="5" t="s">
        <v>0</v>
      </c>
      <c r="K383" s="5" t="s">
        <v>1</v>
      </c>
      <c r="L383" s="5" t="s">
        <v>2</v>
      </c>
      <c r="M383" s="5" t="s">
        <v>917</v>
      </c>
      <c r="N383" s="5" t="s">
        <v>679</v>
      </c>
      <c r="O383" s="5" t="s">
        <v>98</v>
      </c>
      <c r="P383" s="5" t="s">
        <v>9</v>
      </c>
      <c r="XFD383"/>
    </row>
    <row r="384" spans="1:16 16384:16384" s="5" customFormat="1">
      <c r="A384" s="5" t="str">
        <f t="shared" si="10"/>
        <v>RAS</v>
      </c>
      <c r="B384" s="5" t="str">
        <f t="shared" si="11"/>
        <v>RAS135112</v>
      </c>
      <c r="C384" s="5" t="str">
        <f>IF(ISNA(VLOOKUP(A384&amp;D384,VCEPReports,4,FALSE)),"",VLOOKUP(A384&amp;D384,VCEPReports,4,FALSE))</f>
        <v/>
      </c>
      <c r="D384" s="5">
        <v>135112</v>
      </c>
      <c r="E384" s="5" t="s">
        <v>65</v>
      </c>
      <c r="F384" s="6">
        <v>42843</v>
      </c>
      <c r="G384" s="5" t="s">
        <v>219</v>
      </c>
      <c r="H384" s="5" t="s">
        <v>109</v>
      </c>
      <c r="I384" s="5" t="s">
        <v>110</v>
      </c>
      <c r="J384" s="5" t="s">
        <v>0</v>
      </c>
      <c r="K384" s="5" t="s">
        <v>1</v>
      </c>
      <c r="L384" s="5" t="s">
        <v>2</v>
      </c>
      <c r="M384" s="5" t="s">
        <v>915</v>
      </c>
      <c r="N384" s="5" t="s">
        <v>680</v>
      </c>
      <c r="O384" s="5" t="s">
        <v>143</v>
      </c>
      <c r="P384" s="5" t="s">
        <v>9</v>
      </c>
      <c r="XFD384"/>
    </row>
    <row r="385" spans="1:16 16384:16384" s="5" customFormat="1">
      <c r="A385" s="5" t="str">
        <f t="shared" si="10"/>
        <v>RAS</v>
      </c>
      <c r="B385" s="5" t="str">
        <f t="shared" si="11"/>
        <v>RAS136532</v>
      </c>
      <c r="C385" s="5" t="str">
        <f>IF(ISNA(VLOOKUP(A385&amp;D385,VCEPReports,4,FALSE)),"",VLOOKUP(A385&amp;D385,VCEPReports,4,FALSE))</f>
        <v/>
      </c>
      <c r="D385" s="5">
        <v>136532</v>
      </c>
      <c r="E385" s="5" t="s">
        <v>65</v>
      </c>
      <c r="F385" s="6">
        <v>42828</v>
      </c>
      <c r="G385" s="5" t="s">
        <v>681</v>
      </c>
      <c r="H385" s="5" t="s">
        <v>109</v>
      </c>
      <c r="I385" s="5" t="s">
        <v>110</v>
      </c>
      <c r="J385" s="5" t="s">
        <v>0</v>
      </c>
      <c r="K385" s="5" t="s">
        <v>1</v>
      </c>
      <c r="L385" s="5" t="s">
        <v>2</v>
      </c>
      <c r="M385" s="5" t="s">
        <v>915</v>
      </c>
      <c r="N385" s="5" t="s">
        <v>682</v>
      </c>
      <c r="O385" s="5" t="s">
        <v>165</v>
      </c>
      <c r="P385" s="5" t="s">
        <v>9</v>
      </c>
      <c r="XFD385"/>
    </row>
    <row r="386" spans="1:16 16384:16384" s="5" customFormat="1">
      <c r="A386" s="5" t="str">
        <f t="shared" ref="A386:A449" si="12">VLOOKUP(M386,VCEPs,2,FALSE)</f>
        <v>RAS</v>
      </c>
      <c r="B386" s="5" t="str">
        <f t="shared" si="11"/>
        <v>RAS138060</v>
      </c>
      <c r="C386" s="5" t="str">
        <f>IF(ISNA(VLOOKUP(A386&amp;D386,VCEPReports,4,FALSE)),"",VLOOKUP(A386&amp;D386,VCEPReports,4,FALSE))</f>
        <v/>
      </c>
      <c r="D386" s="5">
        <v>138060</v>
      </c>
      <c r="E386" s="5" t="s">
        <v>212</v>
      </c>
      <c r="F386" s="6">
        <v>42828</v>
      </c>
      <c r="G386" s="5" t="s">
        <v>683</v>
      </c>
      <c r="H386" s="5" t="s">
        <v>109</v>
      </c>
      <c r="I386" s="5" t="s">
        <v>110</v>
      </c>
      <c r="J386" s="5" t="s">
        <v>0</v>
      </c>
      <c r="K386" s="5" t="s">
        <v>1</v>
      </c>
      <c r="L386" s="5" t="s">
        <v>2</v>
      </c>
      <c r="M386" s="5" t="s">
        <v>915</v>
      </c>
      <c r="N386" s="5" t="s">
        <v>684</v>
      </c>
      <c r="O386" s="5" t="s">
        <v>116</v>
      </c>
      <c r="P386" s="5" t="s">
        <v>9</v>
      </c>
      <c r="XFD386"/>
    </row>
    <row r="387" spans="1:16 16384:16384" s="5" customFormat="1">
      <c r="A387" s="5" t="str">
        <f t="shared" si="12"/>
        <v>RAS</v>
      </c>
      <c r="B387" s="5" t="str">
        <f t="shared" ref="B387:B450" si="13">CONCATENATE(A387,D387)</f>
        <v>RAS138061</v>
      </c>
      <c r="C387" s="5" t="str">
        <f>IF(ISNA(VLOOKUP(A387&amp;D387,VCEPReports,4,FALSE)),"",VLOOKUP(A387&amp;D387,VCEPReports,4,FALSE))</f>
        <v/>
      </c>
      <c r="D387" s="5">
        <v>138061</v>
      </c>
      <c r="E387" s="5" t="s">
        <v>212</v>
      </c>
      <c r="F387" s="6">
        <v>42843</v>
      </c>
      <c r="G387" s="5" t="s">
        <v>260</v>
      </c>
      <c r="H387" s="5" t="s">
        <v>109</v>
      </c>
      <c r="I387" s="5" t="s">
        <v>110</v>
      </c>
      <c r="J387" s="5" t="s">
        <v>0</v>
      </c>
      <c r="K387" s="5" t="s">
        <v>1</v>
      </c>
      <c r="L387" s="5" t="s">
        <v>2</v>
      </c>
      <c r="M387" s="5" t="s">
        <v>915</v>
      </c>
      <c r="N387" s="5" t="s">
        <v>685</v>
      </c>
      <c r="O387" s="5" t="s">
        <v>116</v>
      </c>
      <c r="P387" s="5" t="s">
        <v>9</v>
      </c>
      <c r="XFD387"/>
    </row>
    <row r="388" spans="1:16 16384:16384" s="5" customFormat="1">
      <c r="A388" s="5" t="str">
        <f t="shared" si="12"/>
        <v>RAS</v>
      </c>
      <c r="B388" s="5" t="str">
        <f t="shared" si="13"/>
        <v>RAS138155</v>
      </c>
      <c r="C388" s="5" t="str">
        <f>IF(ISNA(VLOOKUP(A388&amp;D388,VCEPReports,4,FALSE)),"",VLOOKUP(A388&amp;D388,VCEPReports,4,FALSE))</f>
        <v/>
      </c>
      <c r="D388" s="5">
        <v>138155</v>
      </c>
      <c r="E388" s="5" t="s">
        <v>212</v>
      </c>
      <c r="F388" s="6">
        <v>42864</v>
      </c>
      <c r="G388" s="5" t="s">
        <v>364</v>
      </c>
      <c r="H388" s="5" t="s">
        <v>109</v>
      </c>
      <c r="I388" s="5" t="s">
        <v>110</v>
      </c>
      <c r="J388" s="5" t="s">
        <v>0</v>
      </c>
      <c r="K388" s="5" t="s">
        <v>1</v>
      </c>
      <c r="L388" s="5" t="s">
        <v>2</v>
      </c>
      <c r="M388" s="5" t="s">
        <v>915</v>
      </c>
      <c r="N388" s="5" t="s">
        <v>686</v>
      </c>
      <c r="O388" s="5" t="s">
        <v>153</v>
      </c>
      <c r="P388" s="5" t="s">
        <v>9</v>
      </c>
      <c r="XFD388"/>
    </row>
    <row r="389" spans="1:16 16384:16384" s="5" customFormat="1">
      <c r="A389" s="5" t="str">
        <f t="shared" si="12"/>
        <v>RAS</v>
      </c>
      <c r="B389" s="5" t="str">
        <f t="shared" si="13"/>
        <v>RAS138158</v>
      </c>
      <c r="C389" s="5" t="str">
        <f>IF(ISNA(VLOOKUP(A389&amp;D389,VCEPReports,4,FALSE)),"",VLOOKUP(A389&amp;D389,VCEPReports,4,FALSE))</f>
        <v/>
      </c>
      <c r="D389" s="5">
        <v>138158</v>
      </c>
      <c r="E389" s="5" t="s">
        <v>65</v>
      </c>
      <c r="F389" s="6">
        <v>42864</v>
      </c>
      <c r="G389" s="5" t="s">
        <v>343</v>
      </c>
      <c r="H389" s="5" t="s">
        <v>109</v>
      </c>
      <c r="I389" s="5" t="s">
        <v>110</v>
      </c>
      <c r="J389" s="5" t="s">
        <v>0</v>
      </c>
      <c r="K389" s="5" t="s">
        <v>1</v>
      </c>
      <c r="L389" s="5" t="s">
        <v>2</v>
      </c>
      <c r="M389" s="5" t="s">
        <v>915</v>
      </c>
      <c r="N389" s="5" t="s">
        <v>687</v>
      </c>
      <c r="O389" s="5" t="s">
        <v>105</v>
      </c>
      <c r="P389" s="5" t="s">
        <v>9</v>
      </c>
      <c r="XFD389"/>
    </row>
    <row r="390" spans="1:16 16384:16384" s="5" customFormat="1">
      <c r="A390" s="5" t="str">
        <f t="shared" si="12"/>
        <v>RAS</v>
      </c>
      <c r="B390" s="5" t="str">
        <f t="shared" si="13"/>
        <v>RAS138161</v>
      </c>
      <c r="C390" s="5" t="str">
        <f>IF(ISNA(VLOOKUP(A390&amp;D390,VCEPReports,4,FALSE)),"",VLOOKUP(A390&amp;D390,VCEPReports,4,FALSE))</f>
        <v/>
      </c>
      <c r="D390" s="5">
        <v>138161</v>
      </c>
      <c r="E390" s="5" t="s">
        <v>65</v>
      </c>
      <c r="F390" s="6">
        <v>42864</v>
      </c>
      <c r="G390" s="5" t="s">
        <v>343</v>
      </c>
      <c r="H390" s="5" t="s">
        <v>109</v>
      </c>
      <c r="I390" s="5" t="s">
        <v>110</v>
      </c>
      <c r="J390" s="5" t="s">
        <v>0</v>
      </c>
      <c r="K390" s="5" t="s">
        <v>1</v>
      </c>
      <c r="L390" s="5" t="s">
        <v>2</v>
      </c>
      <c r="M390" s="5" t="s">
        <v>915</v>
      </c>
      <c r="N390" s="5" t="s">
        <v>688</v>
      </c>
      <c r="O390" s="5" t="s">
        <v>105</v>
      </c>
      <c r="P390" s="5" t="s">
        <v>9</v>
      </c>
      <c r="XFD390"/>
    </row>
    <row r="391" spans="1:16 16384:16384" s="5" customFormat="1">
      <c r="A391" s="5" t="str">
        <f t="shared" si="12"/>
        <v>CARDIO</v>
      </c>
      <c r="B391" s="5" t="str">
        <f t="shared" si="13"/>
        <v>CARDIO138391</v>
      </c>
      <c r="C391" s="5" t="str">
        <f>IF(ISNA(VLOOKUP(A391&amp;D391,VCEPReports,4,FALSE)),"",VLOOKUP(A391&amp;D391,VCEPReports,4,FALSE))</f>
        <v/>
      </c>
      <c r="D391" s="5">
        <v>138391</v>
      </c>
      <c r="E391" s="5" t="s">
        <v>65</v>
      </c>
      <c r="F391" s="6">
        <v>42719</v>
      </c>
      <c r="G391" s="5" t="s">
        <v>222</v>
      </c>
      <c r="H391" s="5" t="s">
        <v>214</v>
      </c>
      <c r="I391" s="5" t="s">
        <v>215</v>
      </c>
      <c r="J391" s="5" t="s">
        <v>0</v>
      </c>
      <c r="K391" s="5" t="s">
        <v>1</v>
      </c>
      <c r="L391" s="5" t="s">
        <v>2</v>
      </c>
      <c r="M391" s="5" t="s">
        <v>933</v>
      </c>
      <c r="N391" s="5" t="s">
        <v>689</v>
      </c>
      <c r="O391" s="5" t="s">
        <v>174</v>
      </c>
      <c r="P391" s="5" t="s">
        <v>9</v>
      </c>
      <c r="XFD391"/>
    </row>
    <row r="392" spans="1:16 16384:16384" s="5" customFormat="1">
      <c r="A392" s="5" t="str">
        <f t="shared" si="12"/>
        <v>PTEN</v>
      </c>
      <c r="B392" s="5" t="str">
        <f t="shared" si="13"/>
        <v>PTEN138835</v>
      </c>
      <c r="C392" s="5" t="str">
        <f>IF(ISNA(VLOOKUP(A392&amp;D392,VCEPReports,4,FALSE)),"",VLOOKUP(A392&amp;D392,VCEPReports,4,FALSE))</f>
        <v>044a4a6a-4939-4e73-8b9d-ff941b58e27d</v>
      </c>
      <c r="D392" s="5">
        <v>138835</v>
      </c>
      <c r="E392" s="5" t="s">
        <v>212</v>
      </c>
      <c r="F392" s="6">
        <v>42627</v>
      </c>
      <c r="G392" s="5" t="s">
        <v>690</v>
      </c>
      <c r="H392" s="5" t="s">
        <v>95</v>
      </c>
      <c r="I392" s="5" t="s">
        <v>96</v>
      </c>
      <c r="J392" s="5" t="s">
        <v>0</v>
      </c>
      <c r="K392" s="5" t="s">
        <v>1</v>
      </c>
      <c r="L392" s="5" t="s">
        <v>2</v>
      </c>
      <c r="M392" s="5" t="s">
        <v>917</v>
      </c>
      <c r="N392" s="5" t="s">
        <v>691</v>
      </c>
      <c r="O392" s="5" t="s">
        <v>98</v>
      </c>
      <c r="P392" s="5" t="s">
        <v>9</v>
      </c>
      <c r="XFD392"/>
    </row>
    <row r="393" spans="1:16 16384:16384" s="5" customFormat="1">
      <c r="A393" s="5" t="str">
        <f t="shared" si="12"/>
        <v>PTEN</v>
      </c>
      <c r="B393" s="5" t="str">
        <f t="shared" si="13"/>
        <v>PTEN138836</v>
      </c>
      <c r="C393" s="5" t="str">
        <f>IF(ISNA(VLOOKUP(A393&amp;D393,VCEPReports,4,FALSE)),"",VLOOKUP(A393&amp;D393,VCEPReports,4,FALSE))</f>
        <v>b70739f7-4e4b-4678-8c1b-43aa0547db91</v>
      </c>
      <c r="D393" s="5">
        <v>138836</v>
      </c>
      <c r="E393" s="5" t="s">
        <v>212</v>
      </c>
      <c r="F393" s="6">
        <v>42683</v>
      </c>
      <c r="G393" s="5" t="s">
        <v>692</v>
      </c>
      <c r="H393" s="5" t="s">
        <v>95</v>
      </c>
      <c r="I393" s="5" t="s">
        <v>96</v>
      </c>
      <c r="J393" s="5" t="s">
        <v>0</v>
      </c>
      <c r="K393" s="5" t="s">
        <v>1</v>
      </c>
      <c r="L393" s="5" t="s">
        <v>2</v>
      </c>
      <c r="M393" s="5" t="s">
        <v>917</v>
      </c>
      <c r="N393" s="5" t="s">
        <v>693</v>
      </c>
      <c r="O393" s="5" t="s">
        <v>98</v>
      </c>
      <c r="P393" s="5" t="s">
        <v>9</v>
      </c>
      <c r="XFD393"/>
    </row>
    <row r="394" spans="1:16 16384:16384" s="5" customFormat="1">
      <c r="A394" s="5" t="str">
        <f t="shared" si="12"/>
        <v>PTEN</v>
      </c>
      <c r="B394" s="5" t="str">
        <f t="shared" si="13"/>
        <v>PTEN138837</v>
      </c>
      <c r="C394" s="5" t="str">
        <f>IF(ISNA(VLOOKUP(A394&amp;D394,VCEPReports,4,FALSE)),"",VLOOKUP(A394&amp;D394,VCEPReports,4,FALSE))</f>
        <v>b7b13ffa-c41f-4c0e-9db4-dd26cede580d</v>
      </c>
      <c r="D394" s="5">
        <v>138837</v>
      </c>
      <c r="E394" s="5" t="s">
        <v>65</v>
      </c>
      <c r="F394" s="6">
        <v>42627</v>
      </c>
      <c r="G394" s="5" t="s">
        <v>694</v>
      </c>
      <c r="H394" s="5" t="s">
        <v>95</v>
      </c>
      <c r="I394" s="5" t="s">
        <v>96</v>
      </c>
      <c r="J394" s="5" t="s">
        <v>0</v>
      </c>
      <c r="K394" s="5" t="s">
        <v>1</v>
      </c>
      <c r="L394" s="5" t="s">
        <v>2</v>
      </c>
      <c r="M394" s="5" t="s">
        <v>917</v>
      </c>
      <c r="N394" s="5" t="s">
        <v>695</v>
      </c>
      <c r="O394" s="5" t="s">
        <v>98</v>
      </c>
      <c r="P394" s="5" t="s">
        <v>9</v>
      </c>
      <c r="XFD394"/>
    </row>
    <row r="395" spans="1:16 16384:16384" s="5" customFormat="1">
      <c r="A395" s="5" t="str">
        <f t="shared" si="12"/>
        <v>RAS</v>
      </c>
      <c r="B395" s="5" t="str">
        <f t="shared" si="13"/>
        <v>RAS138843</v>
      </c>
      <c r="C395" s="5" t="str">
        <f>IF(ISNA(VLOOKUP(A395&amp;D395,VCEPReports,4,FALSE)),"",VLOOKUP(A395&amp;D395,VCEPReports,4,FALSE))</f>
        <v/>
      </c>
      <c r="D395" s="5">
        <v>138843</v>
      </c>
      <c r="E395" s="5" t="s">
        <v>65</v>
      </c>
      <c r="F395" s="6">
        <v>42843</v>
      </c>
      <c r="G395" s="5" t="s">
        <v>219</v>
      </c>
      <c r="H395" s="5" t="s">
        <v>109</v>
      </c>
      <c r="I395" s="5" t="s">
        <v>110</v>
      </c>
      <c r="J395" s="5" t="s">
        <v>0</v>
      </c>
      <c r="K395" s="5" t="s">
        <v>1</v>
      </c>
      <c r="L395" s="5" t="s">
        <v>2</v>
      </c>
      <c r="M395" s="5" t="s">
        <v>915</v>
      </c>
      <c r="N395" s="5" t="s">
        <v>696</v>
      </c>
      <c r="O395" s="5" t="s">
        <v>143</v>
      </c>
      <c r="P395" s="5" t="s">
        <v>9</v>
      </c>
      <c r="XFD395"/>
    </row>
    <row r="396" spans="1:16 16384:16384" s="5" customFormat="1">
      <c r="A396" s="5" t="str">
        <f t="shared" si="12"/>
        <v>RAS</v>
      </c>
      <c r="B396" s="5" t="str">
        <f t="shared" si="13"/>
        <v>RAS139104</v>
      </c>
      <c r="C396" s="5" t="str">
        <f>IF(ISNA(VLOOKUP(A396&amp;D396,VCEPReports,4,FALSE)),"",VLOOKUP(A396&amp;D396,VCEPReports,4,FALSE))</f>
        <v/>
      </c>
      <c r="D396" s="5">
        <v>139104</v>
      </c>
      <c r="E396" s="5" t="s">
        <v>65</v>
      </c>
      <c r="F396" s="6">
        <v>42843</v>
      </c>
      <c r="G396" s="5" t="s">
        <v>219</v>
      </c>
      <c r="H396" s="5" t="s">
        <v>109</v>
      </c>
      <c r="I396" s="5" t="s">
        <v>110</v>
      </c>
      <c r="J396" s="5" t="s">
        <v>0</v>
      </c>
      <c r="K396" s="5" t="s">
        <v>1</v>
      </c>
      <c r="L396" s="5" t="s">
        <v>2</v>
      </c>
      <c r="M396" s="5" t="s">
        <v>915</v>
      </c>
      <c r="N396" s="5" t="s">
        <v>697</v>
      </c>
      <c r="O396" s="5" t="s">
        <v>93</v>
      </c>
      <c r="P396" s="5" t="s">
        <v>9</v>
      </c>
      <c r="XFD396"/>
    </row>
    <row r="397" spans="1:16 16384:16384" s="5" customFormat="1">
      <c r="A397" s="5" t="str">
        <f t="shared" si="12"/>
        <v>RAS</v>
      </c>
      <c r="B397" s="5" t="str">
        <f t="shared" si="13"/>
        <v>RAS139108</v>
      </c>
      <c r="C397" s="5" t="str">
        <f>IF(ISNA(VLOOKUP(A397&amp;D397,VCEPReports,4,FALSE)),"",VLOOKUP(A397&amp;D397,VCEPReports,4,FALSE))</f>
        <v/>
      </c>
      <c r="D397" s="5">
        <v>139108</v>
      </c>
      <c r="E397" s="5" t="s">
        <v>65</v>
      </c>
      <c r="F397" s="6">
        <v>42828</v>
      </c>
      <c r="G397" s="5" t="s">
        <v>698</v>
      </c>
      <c r="H397" s="5" t="s">
        <v>109</v>
      </c>
      <c r="I397" s="5" t="s">
        <v>110</v>
      </c>
      <c r="J397" s="5" t="s">
        <v>0</v>
      </c>
      <c r="K397" s="5" t="s">
        <v>1</v>
      </c>
      <c r="L397" s="5" t="s">
        <v>2</v>
      </c>
      <c r="M397" s="5" t="s">
        <v>915</v>
      </c>
      <c r="N397" s="5" t="s">
        <v>699</v>
      </c>
      <c r="O397" s="5" t="s">
        <v>93</v>
      </c>
      <c r="P397" s="5" t="s">
        <v>9</v>
      </c>
      <c r="XFD397"/>
    </row>
    <row r="398" spans="1:16 16384:16384" s="5" customFormat="1">
      <c r="A398" s="5" t="str">
        <f t="shared" si="12"/>
        <v>RAS</v>
      </c>
      <c r="B398" s="5" t="str">
        <f t="shared" si="13"/>
        <v>RAS139109</v>
      </c>
      <c r="C398" s="5" t="str">
        <f>IF(ISNA(VLOOKUP(A398&amp;D398,VCEPReports,4,FALSE)),"",VLOOKUP(A398&amp;D398,VCEPReports,4,FALSE))</f>
        <v/>
      </c>
      <c r="D398" s="5">
        <v>139109</v>
      </c>
      <c r="E398" s="5" t="s">
        <v>65</v>
      </c>
      <c r="F398" s="6">
        <v>42843</v>
      </c>
      <c r="G398" s="5" t="s">
        <v>219</v>
      </c>
      <c r="H398" s="5" t="s">
        <v>109</v>
      </c>
      <c r="I398" s="5" t="s">
        <v>110</v>
      </c>
      <c r="J398" s="5" t="s">
        <v>0</v>
      </c>
      <c r="K398" s="5" t="s">
        <v>1</v>
      </c>
      <c r="L398" s="5" t="s">
        <v>2</v>
      </c>
      <c r="M398" s="5" t="s">
        <v>915</v>
      </c>
      <c r="N398" s="5" t="s">
        <v>700</v>
      </c>
      <c r="O398" s="5" t="s">
        <v>93</v>
      </c>
      <c r="P398" s="5" t="s">
        <v>9</v>
      </c>
      <c r="XFD398"/>
    </row>
    <row r="399" spans="1:16 16384:16384" s="5" customFormat="1">
      <c r="A399" s="5" t="str">
        <f t="shared" si="12"/>
        <v>RAS</v>
      </c>
      <c r="B399" s="5" t="str">
        <f t="shared" si="13"/>
        <v>RAS139110</v>
      </c>
      <c r="C399" s="5" t="str">
        <f>IF(ISNA(VLOOKUP(A399&amp;D399,VCEPReports,4,FALSE)),"",VLOOKUP(A399&amp;D399,VCEPReports,4,FALSE))</f>
        <v/>
      </c>
      <c r="D399" s="5">
        <v>139110</v>
      </c>
      <c r="E399" s="5" t="s">
        <v>65</v>
      </c>
      <c r="F399" s="6">
        <v>42843</v>
      </c>
      <c r="G399" s="5" t="s">
        <v>219</v>
      </c>
      <c r="H399" s="5" t="s">
        <v>109</v>
      </c>
      <c r="I399" s="5" t="s">
        <v>110</v>
      </c>
      <c r="J399" s="5" t="s">
        <v>0</v>
      </c>
      <c r="K399" s="5" t="s">
        <v>1</v>
      </c>
      <c r="L399" s="5" t="s">
        <v>2</v>
      </c>
      <c r="M399" s="5" t="s">
        <v>915</v>
      </c>
      <c r="N399" s="5" t="s">
        <v>701</v>
      </c>
      <c r="O399" s="5" t="s">
        <v>93</v>
      </c>
      <c r="P399" s="5" t="s">
        <v>9</v>
      </c>
      <c r="XFD399"/>
    </row>
    <row r="400" spans="1:16 16384:16384" s="5" customFormat="1">
      <c r="A400" s="5" t="str">
        <f t="shared" si="12"/>
        <v>RAS</v>
      </c>
      <c r="B400" s="5" t="str">
        <f t="shared" si="13"/>
        <v>RAS139228</v>
      </c>
      <c r="C400" s="5" t="str">
        <f>IF(ISNA(VLOOKUP(A400&amp;D400,VCEPReports,4,FALSE)),"",VLOOKUP(A400&amp;D400,VCEPReports,4,FALSE))</f>
        <v/>
      </c>
      <c r="D400" s="5">
        <v>139228</v>
      </c>
      <c r="E400" s="5" t="s">
        <v>65</v>
      </c>
      <c r="F400" s="6">
        <v>42843</v>
      </c>
      <c r="G400" s="5" t="s">
        <v>219</v>
      </c>
      <c r="H400" s="5" t="s">
        <v>109</v>
      </c>
      <c r="I400" s="5" t="s">
        <v>110</v>
      </c>
      <c r="J400" s="5" t="s">
        <v>0</v>
      </c>
      <c r="K400" s="5" t="s">
        <v>1</v>
      </c>
      <c r="L400" s="5" t="s">
        <v>2</v>
      </c>
      <c r="M400" s="5" t="s">
        <v>915</v>
      </c>
      <c r="N400" s="5" t="s">
        <v>702</v>
      </c>
      <c r="O400" s="5" t="s">
        <v>140</v>
      </c>
      <c r="P400" s="5" t="s">
        <v>9</v>
      </c>
      <c r="XFD400"/>
    </row>
    <row r="401" spans="1:16 16384:16384" s="5" customFormat="1">
      <c r="A401" s="5" t="str">
        <f t="shared" si="12"/>
        <v>RAS</v>
      </c>
      <c r="B401" s="5" t="str">
        <f t="shared" si="13"/>
        <v>RAS139236</v>
      </c>
      <c r="C401" s="5" t="str">
        <f>IF(ISNA(VLOOKUP(A401&amp;D401,VCEPReports,4,FALSE)),"",VLOOKUP(A401&amp;D401,VCEPReports,4,FALSE))</f>
        <v/>
      </c>
      <c r="D401" s="5">
        <v>139236</v>
      </c>
      <c r="E401" s="5" t="s">
        <v>212</v>
      </c>
      <c r="F401" s="6">
        <v>42843</v>
      </c>
      <c r="G401" s="5" t="s">
        <v>260</v>
      </c>
      <c r="H401" s="5" t="s">
        <v>109</v>
      </c>
      <c r="I401" s="5" t="s">
        <v>110</v>
      </c>
      <c r="J401" s="5" t="s">
        <v>0</v>
      </c>
      <c r="K401" s="5" t="s">
        <v>1</v>
      </c>
      <c r="L401" s="5" t="s">
        <v>2</v>
      </c>
      <c r="M401" s="5" t="s">
        <v>915</v>
      </c>
      <c r="N401" s="5" t="s">
        <v>703</v>
      </c>
      <c r="O401" s="5" t="s">
        <v>140</v>
      </c>
      <c r="P401" s="5" t="s">
        <v>9</v>
      </c>
      <c r="XFD401"/>
    </row>
    <row r="402" spans="1:16 16384:16384" s="5" customFormat="1">
      <c r="A402" s="5" t="str">
        <f t="shared" si="12"/>
        <v>PTEN</v>
      </c>
      <c r="B402" s="5" t="str">
        <f t="shared" si="13"/>
        <v>PTEN141485</v>
      </c>
      <c r="C402" s="5" t="str">
        <f>IF(ISNA(VLOOKUP(A402&amp;D402,VCEPReports,4,FALSE)),"",VLOOKUP(A402&amp;D402,VCEPReports,4,FALSE))</f>
        <v>e71dcbfe-0aed-4400-9ea2-5ec0ef78a666</v>
      </c>
      <c r="D402" s="5">
        <v>141485</v>
      </c>
      <c r="E402" s="5" t="s">
        <v>3</v>
      </c>
      <c r="F402" s="6">
        <v>43026</v>
      </c>
      <c r="G402" s="5" t="s">
        <v>704</v>
      </c>
      <c r="H402" s="5" t="s">
        <v>95</v>
      </c>
      <c r="I402" s="5" t="s">
        <v>96</v>
      </c>
      <c r="J402" s="5" t="s">
        <v>0</v>
      </c>
      <c r="K402" s="5" t="s">
        <v>1</v>
      </c>
      <c r="L402" s="5" t="s">
        <v>2</v>
      </c>
      <c r="M402" s="5" t="s">
        <v>917</v>
      </c>
      <c r="N402" s="5" t="s">
        <v>705</v>
      </c>
      <c r="O402" s="5" t="s">
        <v>98</v>
      </c>
      <c r="P402" s="5" t="s">
        <v>9</v>
      </c>
      <c r="XFD402"/>
    </row>
    <row r="403" spans="1:16 16384:16384" s="5" customFormat="1">
      <c r="A403" s="5" t="str">
        <f t="shared" si="12"/>
        <v>PTEN</v>
      </c>
      <c r="B403" s="5" t="str">
        <f t="shared" si="13"/>
        <v>PTEN141654</v>
      </c>
      <c r="C403" s="5" t="str">
        <f>IF(ISNA(VLOOKUP(A403&amp;D403,VCEPReports,4,FALSE)),"",VLOOKUP(A403&amp;D403,VCEPReports,4,FALSE))</f>
        <v>2b40684d-92f4-40ce-8062-ffd5a0278fbd</v>
      </c>
      <c r="D403" s="5">
        <v>141654</v>
      </c>
      <c r="E403" s="5" t="s">
        <v>3</v>
      </c>
      <c r="F403" s="6">
        <v>43026</v>
      </c>
      <c r="G403" s="5" t="s">
        <v>706</v>
      </c>
      <c r="H403" s="5" t="s">
        <v>95</v>
      </c>
      <c r="I403" s="5" t="s">
        <v>96</v>
      </c>
      <c r="J403" s="5" t="s">
        <v>0</v>
      </c>
      <c r="K403" s="5" t="s">
        <v>1</v>
      </c>
      <c r="L403" s="5" t="s">
        <v>2</v>
      </c>
      <c r="M403" s="5" t="s">
        <v>917</v>
      </c>
      <c r="N403" s="5" t="s">
        <v>707</v>
      </c>
      <c r="O403" s="5" t="s">
        <v>98</v>
      </c>
      <c r="P403" s="5" t="s">
        <v>9</v>
      </c>
      <c r="XFD403"/>
    </row>
    <row r="404" spans="1:16 16384:16384" s="5" customFormat="1">
      <c r="A404" s="5" t="str">
        <f t="shared" si="12"/>
        <v>PTEN</v>
      </c>
      <c r="B404" s="5" t="str">
        <f t="shared" si="13"/>
        <v>PTEN142220</v>
      </c>
      <c r="C404" s="5" t="str">
        <f>IF(ISNA(VLOOKUP(A404&amp;D404,VCEPReports,4,FALSE)),"",VLOOKUP(A404&amp;D404,VCEPReports,4,FALSE))</f>
        <v>58b7be5a-c98e-4344-9f4f-cff2dd70911d</v>
      </c>
      <c r="D404" s="5">
        <v>142220</v>
      </c>
      <c r="E404" s="5" t="s">
        <v>24</v>
      </c>
      <c r="F404" s="6">
        <v>43196</v>
      </c>
      <c r="G404" s="5" t="s">
        <v>940</v>
      </c>
      <c r="H404" s="5" t="s">
        <v>95</v>
      </c>
      <c r="I404" s="5" t="s">
        <v>96</v>
      </c>
      <c r="J404" s="5" t="s">
        <v>0</v>
      </c>
      <c r="K404" s="5" t="s">
        <v>1</v>
      </c>
      <c r="L404" s="5" t="s">
        <v>2</v>
      </c>
      <c r="M404" s="5" t="s">
        <v>917</v>
      </c>
      <c r="N404" s="5" t="s">
        <v>941</v>
      </c>
      <c r="O404" s="5" t="s">
        <v>98</v>
      </c>
      <c r="P404" s="5" t="s">
        <v>9</v>
      </c>
      <c r="XFD404"/>
    </row>
    <row r="405" spans="1:16 16384:16384" s="5" customFormat="1">
      <c r="A405" s="5" t="str">
        <f t="shared" si="12"/>
        <v>PTEN</v>
      </c>
      <c r="B405" s="5" t="str">
        <f t="shared" si="13"/>
        <v>PTEN142269</v>
      </c>
      <c r="C405" s="5" t="str">
        <f>IF(ISNA(VLOOKUP(A405&amp;D405,VCEPReports,4,FALSE)),"",VLOOKUP(A405&amp;D405,VCEPReports,4,FALSE))</f>
        <v>835a14e6-4a41-47df-a1ff-271c872adf39</v>
      </c>
      <c r="D405" s="5">
        <v>142269</v>
      </c>
      <c r="E405" s="5" t="s">
        <v>3</v>
      </c>
      <c r="F405" s="6">
        <v>43026</v>
      </c>
      <c r="G405" s="5" t="s">
        <v>708</v>
      </c>
      <c r="H405" s="5" t="s">
        <v>95</v>
      </c>
      <c r="I405" s="5" t="s">
        <v>96</v>
      </c>
      <c r="J405" s="5" t="s">
        <v>0</v>
      </c>
      <c r="K405" s="5" t="s">
        <v>1</v>
      </c>
      <c r="L405" s="5" t="s">
        <v>2</v>
      </c>
      <c r="M405" s="5" t="s">
        <v>917</v>
      </c>
      <c r="N405" s="5" t="s">
        <v>709</v>
      </c>
      <c r="O405" s="5" t="s">
        <v>98</v>
      </c>
      <c r="P405" s="5" t="s">
        <v>9</v>
      </c>
      <c r="XFD405"/>
    </row>
    <row r="406" spans="1:16 16384:16384" s="5" customFormat="1">
      <c r="A406" s="5" t="str">
        <f t="shared" si="12"/>
        <v>PTEN</v>
      </c>
      <c r="B406" s="5" t="str">
        <f t="shared" si="13"/>
        <v>PTEN142423</v>
      </c>
      <c r="C406" s="5" t="str">
        <f>IF(ISNA(VLOOKUP(A406&amp;D406,VCEPReports,4,FALSE)),"",VLOOKUP(A406&amp;D406,VCEPReports,4,FALSE))</f>
        <v>0b5afc39-258a-4c7d-8a60-f765e5c2eaf2</v>
      </c>
      <c r="D406" s="5">
        <v>142423</v>
      </c>
      <c r="E406" s="5" t="s">
        <v>3</v>
      </c>
      <c r="F406" s="6">
        <v>43026</v>
      </c>
      <c r="G406" s="5" t="s">
        <v>710</v>
      </c>
      <c r="H406" s="5" t="s">
        <v>95</v>
      </c>
      <c r="I406" s="5" t="s">
        <v>96</v>
      </c>
      <c r="J406" s="5" t="s">
        <v>0</v>
      </c>
      <c r="K406" s="5" t="s">
        <v>1</v>
      </c>
      <c r="L406" s="5" t="s">
        <v>2</v>
      </c>
      <c r="M406" s="5" t="s">
        <v>917</v>
      </c>
      <c r="N406" s="5" t="s">
        <v>711</v>
      </c>
      <c r="O406" s="5" t="s">
        <v>98</v>
      </c>
      <c r="P406" s="5" t="s">
        <v>9</v>
      </c>
      <c r="XFD406"/>
    </row>
    <row r="407" spans="1:16 16384:16384" s="5" customFormat="1">
      <c r="A407" s="5" t="str">
        <f t="shared" si="12"/>
        <v>PTEN</v>
      </c>
      <c r="B407" s="5" t="str">
        <f t="shared" si="13"/>
        <v>PTEN142681</v>
      </c>
      <c r="C407" s="5" t="str">
        <f>IF(ISNA(VLOOKUP(A407&amp;D407,VCEPReports,4,FALSE)),"",VLOOKUP(A407&amp;D407,VCEPReports,4,FALSE))</f>
        <v>742e08c9-7bda-4006-95f1-22f34ec0d9e1</v>
      </c>
      <c r="D407" s="5">
        <v>142681</v>
      </c>
      <c r="E407" s="5" t="s">
        <v>86</v>
      </c>
      <c r="F407" s="6">
        <v>43047</v>
      </c>
      <c r="G407" s="5" t="s">
        <v>712</v>
      </c>
      <c r="H407" s="5" t="s">
        <v>95</v>
      </c>
      <c r="I407" s="5" t="s">
        <v>96</v>
      </c>
      <c r="J407" s="5" t="s">
        <v>0</v>
      </c>
      <c r="K407" s="5" t="s">
        <v>1</v>
      </c>
      <c r="L407" s="5" t="s">
        <v>2</v>
      </c>
      <c r="M407" s="5" t="s">
        <v>917</v>
      </c>
      <c r="N407" s="5" t="s">
        <v>713</v>
      </c>
      <c r="O407" s="5" t="s">
        <v>98</v>
      </c>
      <c r="P407" s="5" t="s">
        <v>9</v>
      </c>
      <c r="XFD407"/>
    </row>
    <row r="408" spans="1:16 16384:16384" s="5" customFormat="1">
      <c r="A408" s="5" t="str">
        <f t="shared" si="12"/>
        <v>CARDIO</v>
      </c>
      <c r="B408" s="5" t="str">
        <f t="shared" si="13"/>
        <v>CARDIO155814</v>
      </c>
      <c r="C408" s="5" t="str">
        <f>IF(ISNA(VLOOKUP(A408&amp;D408,VCEPReports,4,FALSE)),"",VLOOKUP(A408&amp;D408,VCEPReports,4,FALSE))</f>
        <v/>
      </c>
      <c r="D408" s="5">
        <v>155814</v>
      </c>
      <c r="E408" s="5" t="s">
        <v>24</v>
      </c>
      <c r="F408" s="6">
        <v>42719</v>
      </c>
      <c r="G408" s="5" t="s">
        <v>714</v>
      </c>
      <c r="H408" s="5" t="s">
        <v>214</v>
      </c>
      <c r="I408" s="5" t="s">
        <v>215</v>
      </c>
      <c r="J408" s="5" t="s">
        <v>0</v>
      </c>
      <c r="K408" s="5" t="s">
        <v>1</v>
      </c>
      <c r="L408" s="5" t="s">
        <v>2</v>
      </c>
      <c r="M408" s="5" t="s">
        <v>933</v>
      </c>
      <c r="N408" s="5" t="s">
        <v>715</v>
      </c>
      <c r="O408" s="5" t="s">
        <v>174</v>
      </c>
      <c r="P408" s="5" t="s">
        <v>9</v>
      </c>
      <c r="XFD408"/>
    </row>
    <row r="409" spans="1:16 16384:16384" s="5" customFormat="1">
      <c r="A409" s="5" t="str">
        <f t="shared" si="12"/>
        <v>CARDIO</v>
      </c>
      <c r="B409" s="5" t="str">
        <f t="shared" si="13"/>
        <v>CARDIO161326</v>
      </c>
      <c r="C409" s="5" t="str">
        <f>IF(ISNA(VLOOKUP(A409&amp;D409,VCEPReports,4,FALSE)),"",VLOOKUP(A409&amp;D409,VCEPReports,4,FALSE))</f>
        <v/>
      </c>
      <c r="D409" s="5">
        <v>161326</v>
      </c>
      <c r="E409" s="5" t="s">
        <v>24</v>
      </c>
      <c r="F409" s="6">
        <v>42719</v>
      </c>
      <c r="G409" s="5" t="s">
        <v>716</v>
      </c>
      <c r="H409" s="5" t="s">
        <v>171</v>
      </c>
      <c r="I409" s="5" t="s">
        <v>172</v>
      </c>
      <c r="J409" s="5" t="s">
        <v>0</v>
      </c>
      <c r="K409" s="5" t="s">
        <v>1</v>
      </c>
      <c r="L409" s="5" t="s">
        <v>2</v>
      </c>
      <c r="M409" s="5" t="s">
        <v>933</v>
      </c>
      <c r="N409" s="5" t="s">
        <v>717</v>
      </c>
      <c r="O409" s="5" t="s">
        <v>174</v>
      </c>
      <c r="P409" s="5" t="s">
        <v>9</v>
      </c>
      <c r="XFD409"/>
    </row>
    <row r="410" spans="1:16 16384:16384" s="5" customFormat="1">
      <c r="A410" s="5" t="str">
        <f t="shared" si="12"/>
        <v>RAS</v>
      </c>
      <c r="B410" s="5" t="str">
        <f t="shared" si="13"/>
        <v>RAS162804</v>
      </c>
      <c r="C410" s="5" t="str">
        <f>IF(ISNA(VLOOKUP(A410&amp;D410,VCEPReports,4,FALSE)),"",VLOOKUP(A410&amp;D410,VCEPReports,4,FALSE))</f>
        <v/>
      </c>
      <c r="D410" s="5">
        <v>162804</v>
      </c>
      <c r="E410" s="5" t="s">
        <v>212</v>
      </c>
      <c r="F410" s="6">
        <v>42828</v>
      </c>
      <c r="G410" s="5" t="s">
        <v>718</v>
      </c>
      <c r="H410" s="5" t="s">
        <v>109</v>
      </c>
      <c r="I410" s="5" t="s">
        <v>110</v>
      </c>
      <c r="J410" s="5" t="s">
        <v>0</v>
      </c>
      <c r="K410" s="5" t="s">
        <v>1</v>
      </c>
      <c r="L410" s="5" t="s">
        <v>2</v>
      </c>
      <c r="M410" s="5" t="s">
        <v>915</v>
      </c>
      <c r="N410" s="5" t="s">
        <v>719</v>
      </c>
      <c r="O410" s="5" t="s">
        <v>165</v>
      </c>
      <c r="P410" s="5" t="s">
        <v>9</v>
      </c>
      <c r="XFD410"/>
    </row>
    <row r="411" spans="1:16 16384:16384" s="5" customFormat="1">
      <c r="A411" s="5" t="str">
        <f t="shared" si="12"/>
        <v>CARDIO</v>
      </c>
      <c r="B411" s="5" t="str">
        <f t="shared" si="13"/>
        <v>CARDIO164294</v>
      </c>
      <c r="C411" s="5" t="str">
        <f>IF(ISNA(VLOOKUP(A411&amp;D411,VCEPReports,4,FALSE)),"",VLOOKUP(A411&amp;D411,VCEPReports,4,FALSE))</f>
        <v/>
      </c>
      <c r="D411" s="5">
        <v>164294</v>
      </c>
      <c r="E411" s="5" t="s">
        <v>24</v>
      </c>
      <c r="F411" s="6">
        <v>42719</v>
      </c>
      <c r="G411" s="5" t="s">
        <v>714</v>
      </c>
      <c r="H411" s="5" t="s">
        <v>171</v>
      </c>
      <c r="I411" s="5" t="s">
        <v>172</v>
      </c>
      <c r="J411" s="5" t="s">
        <v>0</v>
      </c>
      <c r="K411" s="5" t="s">
        <v>1</v>
      </c>
      <c r="L411" s="5" t="s">
        <v>2</v>
      </c>
      <c r="M411" s="5" t="s">
        <v>933</v>
      </c>
      <c r="N411" s="5" t="s">
        <v>720</v>
      </c>
      <c r="O411" s="5" t="s">
        <v>174</v>
      </c>
      <c r="P411" s="5" t="s">
        <v>9</v>
      </c>
      <c r="XFD411"/>
    </row>
    <row r="412" spans="1:16 16384:16384" s="5" customFormat="1">
      <c r="A412" s="5" t="str">
        <f t="shared" si="12"/>
        <v>CARDIO</v>
      </c>
      <c r="B412" s="5" t="str">
        <f t="shared" si="13"/>
        <v>CARDIO164334</v>
      </c>
      <c r="C412" s="5" t="str">
        <f>IF(ISNA(VLOOKUP(A412&amp;D412,VCEPReports,4,FALSE)),"",VLOOKUP(A412&amp;D412,VCEPReports,4,FALSE))</f>
        <v/>
      </c>
      <c r="D412" s="5">
        <v>164334</v>
      </c>
      <c r="E412" s="5" t="s">
        <v>65</v>
      </c>
      <c r="F412" s="6">
        <v>42719</v>
      </c>
      <c r="G412" s="5" t="s">
        <v>222</v>
      </c>
      <c r="H412" s="5" t="s">
        <v>214</v>
      </c>
      <c r="I412" s="5" t="s">
        <v>215</v>
      </c>
      <c r="J412" s="5" t="s">
        <v>0</v>
      </c>
      <c r="K412" s="5" t="s">
        <v>1</v>
      </c>
      <c r="L412" s="5" t="s">
        <v>2</v>
      </c>
      <c r="M412" s="5" t="s">
        <v>933</v>
      </c>
      <c r="N412" s="5" t="s">
        <v>721</v>
      </c>
      <c r="O412" s="5" t="s">
        <v>174</v>
      </c>
      <c r="P412" s="5" t="s">
        <v>9</v>
      </c>
      <c r="XFD412"/>
    </row>
    <row r="413" spans="1:16 16384:16384" s="5" customFormat="1">
      <c r="A413" s="5" t="str">
        <f t="shared" si="12"/>
        <v>CARDIO</v>
      </c>
      <c r="B413" s="5" t="str">
        <f t="shared" si="13"/>
        <v>CARDIO164342</v>
      </c>
      <c r="C413" s="5" t="str">
        <f>IF(ISNA(VLOOKUP(A413&amp;D413,VCEPReports,4,FALSE)),"",VLOOKUP(A413&amp;D413,VCEPReports,4,FALSE))</f>
        <v/>
      </c>
      <c r="D413" s="5">
        <v>164342</v>
      </c>
      <c r="E413" s="5" t="s">
        <v>3</v>
      </c>
      <c r="F413" s="6">
        <v>42719</v>
      </c>
      <c r="G413" s="5" t="s">
        <v>722</v>
      </c>
      <c r="H413" s="5" t="s">
        <v>171</v>
      </c>
      <c r="I413" s="5" t="s">
        <v>172</v>
      </c>
      <c r="J413" s="5" t="s">
        <v>0</v>
      </c>
      <c r="K413" s="5" t="s">
        <v>1</v>
      </c>
      <c r="L413" s="5" t="s">
        <v>2</v>
      </c>
      <c r="M413" s="5" t="s">
        <v>933</v>
      </c>
      <c r="N413" s="5" t="s">
        <v>723</v>
      </c>
      <c r="O413" s="5" t="s">
        <v>174</v>
      </c>
      <c r="P413" s="5" t="s">
        <v>9</v>
      </c>
      <c r="XFD413"/>
    </row>
    <row r="414" spans="1:16 16384:16384" s="5" customFormat="1">
      <c r="A414" s="5" t="str">
        <f t="shared" si="12"/>
        <v>CARDIO</v>
      </c>
      <c r="B414" s="5" t="str">
        <f t="shared" si="13"/>
        <v>CARDIO164378</v>
      </c>
      <c r="C414" s="5" t="str">
        <f>IF(ISNA(VLOOKUP(A414&amp;D414,VCEPReports,4,FALSE)),"",VLOOKUP(A414&amp;D414,VCEPReports,4,FALSE))</f>
        <v/>
      </c>
      <c r="D414" s="5">
        <v>164378</v>
      </c>
      <c r="E414" s="5" t="s">
        <v>24</v>
      </c>
      <c r="F414" s="6">
        <v>42719</v>
      </c>
      <c r="G414" s="5" t="s">
        <v>724</v>
      </c>
      <c r="H414" s="5" t="s">
        <v>171</v>
      </c>
      <c r="I414" s="5" t="s">
        <v>172</v>
      </c>
      <c r="J414" s="5" t="s">
        <v>0</v>
      </c>
      <c r="K414" s="5" t="s">
        <v>1</v>
      </c>
      <c r="L414" s="5" t="s">
        <v>2</v>
      </c>
      <c r="M414" s="5" t="s">
        <v>933</v>
      </c>
      <c r="N414" s="5" t="s">
        <v>725</v>
      </c>
      <c r="O414" s="5" t="s">
        <v>174</v>
      </c>
      <c r="P414" s="5" t="s">
        <v>9</v>
      </c>
      <c r="XFD414"/>
    </row>
    <row r="415" spans="1:16 16384:16384" s="5" customFormat="1">
      <c r="A415" s="5" t="str">
        <f t="shared" si="12"/>
        <v>HL</v>
      </c>
      <c r="B415" s="5" t="str">
        <f t="shared" si="13"/>
        <v>HL164639</v>
      </c>
      <c r="C415" s="5" t="str">
        <f>IF(ISNA(VLOOKUP(A415&amp;D415,VCEPReports,4,FALSE)),"",VLOOKUP(A415&amp;D415,VCEPReports,4,FALSE))</f>
        <v/>
      </c>
      <c r="D415" s="5">
        <v>164639</v>
      </c>
      <c r="E415" s="5" t="s">
        <v>212</v>
      </c>
      <c r="F415" s="6">
        <v>43371</v>
      </c>
      <c r="G415" s="5" t="s">
        <v>726</v>
      </c>
      <c r="H415" s="5" t="s">
        <v>79</v>
      </c>
      <c r="I415" s="5" t="s">
        <v>80</v>
      </c>
      <c r="J415" s="5" t="s">
        <v>0</v>
      </c>
      <c r="K415" s="5" t="s">
        <v>1</v>
      </c>
      <c r="L415" s="5" t="s">
        <v>2</v>
      </c>
      <c r="M415" s="5" t="s">
        <v>914</v>
      </c>
      <c r="N415" s="5" t="s">
        <v>727</v>
      </c>
      <c r="O415" s="5" t="s">
        <v>517</v>
      </c>
      <c r="P415" s="5" t="s">
        <v>9</v>
      </c>
      <c r="XFD415"/>
    </row>
    <row r="416" spans="1:16 16384:16384" s="5" customFormat="1">
      <c r="A416" s="5" t="str">
        <f t="shared" si="12"/>
        <v>HL</v>
      </c>
      <c r="B416" s="5" t="str">
        <f t="shared" si="13"/>
        <v>HL166499</v>
      </c>
      <c r="C416" s="5" t="str">
        <f>IF(ISNA(VLOOKUP(A416&amp;D416,VCEPReports,4,FALSE)),"",VLOOKUP(A416&amp;D416,VCEPReports,4,FALSE))</f>
        <v/>
      </c>
      <c r="D416" s="5">
        <v>166499</v>
      </c>
      <c r="E416" s="5" t="s">
        <v>86</v>
      </c>
      <c r="F416" s="6">
        <v>43371</v>
      </c>
      <c r="G416" s="5" t="s">
        <v>728</v>
      </c>
      <c r="H416" s="5" t="s">
        <v>67</v>
      </c>
      <c r="I416" s="5" t="s">
        <v>68</v>
      </c>
      <c r="J416" s="5" t="s">
        <v>0</v>
      </c>
      <c r="K416" s="5" t="s">
        <v>1</v>
      </c>
      <c r="L416" s="5" t="s">
        <v>2</v>
      </c>
      <c r="M416" s="5" t="s">
        <v>914</v>
      </c>
      <c r="N416" s="5" t="s">
        <v>729</v>
      </c>
      <c r="O416" s="5" t="s">
        <v>70</v>
      </c>
      <c r="P416" s="5" t="s">
        <v>9</v>
      </c>
      <c r="XFD416"/>
    </row>
    <row r="417" spans="1:16 16384:16384" s="5" customFormat="1">
      <c r="A417" s="5" t="str">
        <f t="shared" si="12"/>
        <v>HL</v>
      </c>
      <c r="B417" s="5" t="str">
        <f t="shared" si="13"/>
        <v>HL166504</v>
      </c>
      <c r="C417" s="5" t="str">
        <f>IF(ISNA(VLOOKUP(A417&amp;D417,VCEPReports,4,FALSE)),"",VLOOKUP(A417&amp;D417,VCEPReports,4,FALSE))</f>
        <v/>
      </c>
      <c r="D417" s="5">
        <v>166504</v>
      </c>
      <c r="E417" s="5" t="s">
        <v>3</v>
      </c>
      <c r="F417" s="6">
        <v>43353</v>
      </c>
      <c r="G417" s="5" t="s">
        <v>730</v>
      </c>
      <c r="H417" s="5" t="s">
        <v>67</v>
      </c>
      <c r="I417" s="5" t="s">
        <v>68</v>
      </c>
      <c r="J417" s="5" t="s">
        <v>0</v>
      </c>
      <c r="K417" s="5" t="s">
        <v>1</v>
      </c>
      <c r="L417" s="5" t="s">
        <v>2</v>
      </c>
      <c r="M417" s="5" t="s">
        <v>914</v>
      </c>
      <c r="N417" s="5" t="s">
        <v>731</v>
      </c>
      <c r="O417" s="5" t="s">
        <v>70</v>
      </c>
      <c r="P417" s="5" t="s">
        <v>9</v>
      </c>
      <c r="XFD417"/>
    </row>
    <row r="418" spans="1:16 16384:16384" s="5" customFormat="1">
      <c r="A418" s="5" t="str">
        <f t="shared" si="12"/>
        <v>CARDIO</v>
      </c>
      <c r="B418" s="5" t="str">
        <f t="shared" si="13"/>
        <v>CARDIO177629</v>
      </c>
      <c r="C418" s="5" t="str">
        <f>IF(ISNA(VLOOKUP(A418&amp;D418,VCEPReports,4,FALSE)),"",VLOOKUP(A418&amp;D418,VCEPReports,4,FALSE))</f>
        <v/>
      </c>
      <c r="D418" s="5">
        <v>177629</v>
      </c>
      <c r="E418" s="5" t="s">
        <v>86</v>
      </c>
      <c r="F418" s="6">
        <v>42719</v>
      </c>
      <c r="G418" s="5" t="s">
        <v>421</v>
      </c>
      <c r="H418" s="5" t="s">
        <v>214</v>
      </c>
      <c r="I418" s="5" t="s">
        <v>215</v>
      </c>
      <c r="J418" s="5" t="s">
        <v>0</v>
      </c>
      <c r="K418" s="5" t="s">
        <v>1</v>
      </c>
      <c r="L418" s="5" t="s">
        <v>2</v>
      </c>
      <c r="M418" s="5" t="s">
        <v>933</v>
      </c>
      <c r="N418" s="5" t="s">
        <v>732</v>
      </c>
      <c r="O418" s="5" t="s">
        <v>174</v>
      </c>
      <c r="P418" s="5" t="s">
        <v>9</v>
      </c>
      <c r="XFD418"/>
    </row>
    <row r="419" spans="1:16 16384:16384" s="5" customFormat="1">
      <c r="A419" s="5" t="str">
        <f t="shared" si="12"/>
        <v>CARDIO</v>
      </c>
      <c r="B419" s="5" t="str">
        <f t="shared" si="13"/>
        <v>CARDIO177665</v>
      </c>
      <c r="C419" s="5" t="str">
        <f>IF(ISNA(VLOOKUP(A419&amp;D419,VCEPReports,4,FALSE)),"",VLOOKUP(A419&amp;D419,VCEPReports,4,FALSE))</f>
        <v/>
      </c>
      <c r="D419" s="5">
        <v>177665</v>
      </c>
      <c r="E419" s="5" t="s">
        <v>3</v>
      </c>
      <c r="F419" s="6">
        <v>42719</v>
      </c>
      <c r="G419" s="5" t="s">
        <v>733</v>
      </c>
      <c r="H419" s="5" t="s">
        <v>171</v>
      </c>
      <c r="I419" s="5" t="s">
        <v>172</v>
      </c>
      <c r="J419" s="5" t="s">
        <v>0</v>
      </c>
      <c r="K419" s="5" t="s">
        <v>1</v>
      </c>
      <c r="L419" s="5" t="s">
        <v>2</v>
      </c>
      <c r="M419" s="5" t="s">
        <v>933</v>
      </c>
      <c r="N419" s="5" t="s">
        <v>734</v>
      </c>
      <c r="O419" s="5" t="s">
        <v>174</v>
      </c>
      <c r="P419" s="5" t="s">
        <v>9</v>
      </c>
      <c r="XFD419"/>
    </row>
    <row r="420" spans="1:16 16384:16384" s="5" customFormat="1">
      <c r="A420" s="5" t="str">
        <f t="shared" si="12"/>
        <v>RAS</v>
      </c>
      <c r="B420" s="5" t="str">
        <f t="shared" si="13"/>
        <v>RAS177672</v>
      </c>
      <c r="C420" s="5" t="str">
        <f>IF(ISNA(VLOOKUP(A420&amp;D420,VCEPReports,4,FALSE)),"",VLOOKUP(A420&amp;D420,VCEPReports,4,FALSE))</f>
        <v/>
      </c>
      <c r="D420" s="5">
        <v>177672</v>
      </c>
      <c r="E420" s="5" t="s">
        <v>3</v>
      </c>
      <c r="F420" s="6">
        <v>42828</v>
      </c>
      <c r="G420" s="5" t="s">
        <v>735</v>
      </c>
      <c r="H420" s="5" t="s">
        <v>109</v>
      </c>
      <c r="I420" s="5" t="s">
        <v>110</v>
      </c>
      <c r="J420" s="5" t="s">
        <v>0</v>
      </c>
      <c r="K420" s="5" t="s">
        <v>1</v>
      </c>
      <c r="L420" s="5" t="s">
        <v>2</v>
      </c>
      <c r="M420" s="5" t="s">
        <v>915</v>
      </c>
      <c r="N420" s="5" t="s">
        <v>736</v>
      </c>
      <c r="O420" s="5" t="s">
        <v>165</v>
      </c>
      <c r="P420" s="5" t="s">
        <v>9</v>
      </c>
      <c r="XFD420"/>
    </row>
    <row r="421" spans="1:16 16384:16384" s="5" customFormat="1">
      <c r="A421" s="5" t="str">
        <f t="shared" si="12"/>
        <v>CARDIO</v>
      </c>
      <c r="B421" s="5" t="str">
        <f t="shared" si="13"/>
        <v>CARDIO177697</v>
      </c>
      <c r="C421" s="5" t="str">
        <f>IF(ISNA(VLOOKUP(A421&amp;D421,VCEPReports,4,FALSE)),"",VLOOKUP(A421&amp;D421,VCEPReports,4,FALSE))</f>
        <v/>
      </c>
      <c r="D421" s="5">
        <v>177697</v>
      </c>
      <c r="E421" s="5" t="s">
        <v>86</v>
      </c>
      <c r="F421" s="6">
        <v>42719</v>
      </c>
      <c r="G421" s="5" t="s">
        <v>440</v>
      </c>
      <c r="H421" s="5" t="s">
        <v>214</v>
      </c>
      <c r="I421" s="5" t="s">
        <v>215</v>
      </c>
      <c r="J421" s="5" t="s">
        <v>0</v>
      </c>
      <c r="K421" s="5" t="s">
        <v>1</v>
      </c>
      <c r="L421" s="5" t="s">
        <v>2</v>
      </c>
      <c r="M421" s="5" t="s">
        <v>933</v>
      </c>
      <c r="N421" s="5" t="s">
        <v>737</v>
      </c>
      <c r="O421" s="5" t="s">
        <v>174</v>
      </c>
      <c r="P421" s="5" t="s">
        <v>9</v>
      </c>
      <c r="XFD421"/>
    </row>
    <row r="422" spans="1:16 16384:16384" s="5" customFormat="1">
      <c r="A422" s="5" t="str">
        <f t="shared" si="12"/>
        <v>CARDIO</v>
      </c>
      <c r="B422" s="5" t="str">
        <f t="shared" si="13"/>
        <v>CARDIO177753</v>
      </c>
      <c r="C422" s="5" t="str">
        <f>IF(ISNA(VLOOKUP(A422&amp;D422,VCEPReports,4,FALSE)),"",VLOOKUP(A422&amp;D422,VCEPReports,4,FALSE))</f>
        <v/>
      </c>
      <c r="D422" s="5">
        <v>177753</v>
      </c>
      <c r="E422" s="5" t="s">
        <v>24</v>
      </c>
      <c r="F422" s="6">
        <v>42719</v>
      </c>
      <c r="G422" s="5" t="s">
        <v>437</v>
      </c>
      <c r="H422" s="5" t="s">
        <v>171</v>
      </c>
      <c r="I422" s="5" t="s">
        <v>172</v>
      </c>
      <c r="J422" s="5" t="s">
        <v>0</v>
      </c>
      <c r="K422" s="5" t="s">
        <v>1</v>
      </c>
      <c r="L422" s="5" t="s">
        <v>2</v>
      </c>
      <c r="M422" s="5" t="s">
        <v>933</v>
      </c>
      <c r="N422" s="5" t="s">
        <v>738</v>
      </c>
      <c r="O422" s="5" t="s">
        <v>174</v>
      </c>
      <c r="P422" s="5" t="s">
        <v>9</v>
      </c>
      <c r="XFD422"/>
    </row>
    <row r="423" spans="1:16 16384:16384" s="5" customFormat="1">
      <c r="A423" s="5" t="str">
        <f t="shared" si="12"/>
        <v>CARDIO</v>
      </c>
      <c r="B423" s="5" t="str">
        <f t="shared" si="13"/>
        <v>CARDIO177757</v>
      </c>
      <c r="C423" s="5" t="str">
        <f>IF(ISNA(VLOOKUP(A423&amp;D423,VCEPReports,4,FALSE)),"",VLOOKUP(A423&amp;D423,VCEPReports,4,FALSE))</f>
        <v/>
      </c>
      <c r="D423" s="5">
        <v>177757</v>
      </c>
      <c r="E423" s="5" t="s">
        <v>24</v>
      </c>
      <c r="F423" s="6">
        <v>42719</v>
      </c>
      <c r="G423" s="5" t="s">
        <v>739</v>
      </c>
      <c r="H423" s="5" t="s">
        <v>171</v>
      </c>
      <c r="I423" s="5" t="s">
        <v>172</v>
      </c>
      <c r="J423" s="5" t="s">
        <v>0</v>
      </c>
      <c r="K423" s="5" t="s">
        <v>1</v>
      </c>
      <c r="L423" s="5" t="s">
        <v>2</v>
      </c>
      <c r="M423" s="5" t="s">
        <v>933</v>
      </c>
      <c r="N423" s="5" t="s">
        <v>740</v>
      </c>
      <c r="O423" s="5" t="s">
        <v>174</v>
      </c>
      <c r="P423" s="5" t="s">
        <v>9</v>
      </c>
      <c r="XFD423"/>
    </row>
    <row r="424" spans="1:16 16384:16384" s="5" customFormat="1">
      <c r="A424" s="5" t="str">
        <f t="shared" si="12"/>
        <v>CARDIO</v>
      </c>
      <c r="B424" s="5" t="str">
        <f t="shared" si="13"/>
        <v>CARDIO177763</v>
      </c>
      <c r="C424" s="5" t="str">
        <f>IF(ISNA(VLOOKUP(A424&amp;D424,VCEPReports,4,FALSE)),"",VLOOKUP(A424&amp;D424,VCEPReports,4,FALSE))</f>
        <v/>
      </c>
      <c r="D424" s="5">
        <v>177763</v>
      </c>
      <c r="E424" s="5" t="s">
        <v>24</v>
      </c>
      <c r="F424" s="6">
        <v>42719</v>
      </c>
      <c r="G424" s="5" t="s">
        <v>741</v>
      </c>
      <c r="H424" s="5" t="s">
        <v>195</v>
      </c>
      <c r="I424" s="5" t="s">
        <v>196</v>
      </c>
      <c r="J424" s="5" t="s">
        <v>0</v>
      </c>
      <c r="K424" s="5" t="s">
        <v>1</v>
      </c>
      <c r="L424" s="5" t="s">
        <v>2</v>
      </c>
      <c r="M424" s="5" t="s">
        <v>933</v>
      </c>
      <c r="N424" s="5" t="s">
        <v>742</v>
      </c>
      <c r="O424" s="5" t="s">
        <v>174</v>
      </c>
      <c r="P424" s="5" t="s">
        <v>9</v>
      </c>
      <c r="XFD424"/>
    </row>
    <row r="425" spans="1:16 16384:16384" s="5" customFormat="1">
      <c r="A425" s="5" t="str">
        <f t="shared" si="12"/>
        <v>CARDIO</v>
      </c>
      <c r="B425" s="5" t="str">
        <f t="shared" si="13"/>
        <v>CARDIO177817</v>
      </c>
      <c r="C425" s="5" t="str">
        <f>IF(ISNA(VLOOKUP(A425&amp;D425,VCEPReports,4,FALSE)),"",VLOOKUP(A425&amp;D425,VCEPReports,4,FALSE))</f>
        <v/>
      </c>
      <c r="D425" s="5">
        <v>177817</v>
      </c>
      <c r="E425" s="5" t="s">
        <v>86</v>
      </c>
      <c r="F425" s="6">
        <v>42719</v>
      </c>
      <c r="G425" s="5" t="s">
        <v>451</v>
      </c>
      <c r="H425" s="5" t="s">
        <v>214</v>
      </c>
      <c r="I425" s="5" t="s">
        <v>215</v>
      </c>
      <c r="J425" s="5" t="s">
        <v>0</v>
      </c>
      <c r="K425" s="5" t="s">
        <v>1</v>
      </c>
      <c r="L425" s="5" t="s">
        <v>2</v>
      </c>
      <c r="M425" s="5" t="s">
        <v>933</v>
      </c>
      <c r="N425" s="5" t="s">
        <v>743</v>
      </c>
      <c r="O425" s="5" t="s">
        <v>174</v>
      </c>
      <c r="P425" s="5" t="s">
        <v>9</v>
      </c>
      <c r="XFD425"/>
    </row>
    <row r="426" spans="1:16 16384:16384" s="5" customFormat="1">
      <c r="A426" s="5" t="str">
        <f t="shared" si="12"/>
        <v>HL</v>
      </c>
      <c r="B426" s="5" t="str">
        <f t="shared" si="13"/>
        <v>HL177859</v>
      </c>
      <c r="C426" s="5" t="str">
        <f>IF(ISNA(VLOOKUP(A426&amp;D426,VCEPReports,4,FALSE)),"",VLOOKUP(A426&amp;D426,VCEPReports,4,FALSE))</f>
        <v/>
      </c>
      <c r="D426" s="5">
        <v>177859</v>
      </c>
      <c r="E426" s="5" t="s">
        <v>24</v>
      </c>
      <c r="F426" s="6">
        <v>43362</v>
      </c>
      <c r="G426" s="5" t="s">
        <v>744</v>
      </c>
      <c r="H426" s="5" t="s">
        <v>67</v>
      </c>
      <c r="I426" s="5" t="s">
        <v>68</v>
      </c>
      <c r="J426" s="5" t="s">
        <v>0</v>
      </c>
      <c r="K426" s="5" t="s">
        <v>1</v>
      </c>
      <c r="L426" s="5" t="s">
        <v>2</v>
      </c>
      <c r="M426" s="5" t="s">
        <v>914</v>
      </c>
      <c r="N426" s="5" t="s">
        <v>745</v>
      </c>
      <c r="O426" s="5" t="s">
        <v>70</v>
      </c>
      <c r="P426" s="5" t="s">
        <v>9</v>
      </c>
      <c r="XFD426"/>
    </row>
    <row r="427" spans="1:16 16384:16384" s="5" customFormat="1">
      <c r="A427" s="5" t="str">
        <f t="shared" si="12"/>
        <v>CARDIO</v>
      </c>
      <c r="B427" s="5" t="str">
        <f t="shared" si="13"/>
        <v>CARDIO177865</v>
      </c>
      <c r="C427" s="5" t="str">
        <f>IF(ISNA(VLOOKUP(A427&amp;D427,VCEPReports,4,FALSE)),"",VLOOKUP(A427&amp;D427,VCEPReports,4,FALSE))</f>
        <v/>
      </c>
      <c r="D427" s="5">
        <v>177865</v>
      </c>
      <c r="E427" s="5" t="s">
        <v>65</v>
      </c>
      <c r="F427" s="6">
        <v>42719</v>
      </c>
      <c r="G427" s="5" t="s">
        <v>222</v>
      </c>
      <c r="H427" s="5" t="s">
        <v>214</v>
      </c>
      <c r="I427" s="5" t="s">
        <v>215</v>
      </c>
      <c r="J427" s="5" t="s">
        <v>0</v>
      </c>
      <c r="K427" s="5" t="s">
        <v>1</v>
      </c>
      <c r="L427" s="5" t="s">
        <v>2</v>
      </c>
      <c r="M427" s="5" t="s">
        <v>933</v>
      </c>
      <c r="N427" s="5" t="s">
        <v>746</v>
      </c>
      <c r="O427" s="5" t="s">
        <v>174</v>
      </c>
      <c r="P427" s="5" t="s">
        <v>9</v>
      </c>
      <c r="XFD427"/>
    </row>
    <row r="428" spans="1:16 16384:16384" s="5" customFormat="1">
      <c r="A428" s="5" t="str">
        <f t="shared" si="12"/>
        <v>RAS</v>
      </c>
      <c r="B428" s="5" t="str">
        <f t="shared" si="13"/>
        <v>RAS177868</v>
      </c>
      <c r="C428" s="5" t="str">
        <f>IF(ISNA(VLOOKUP(A428&amp;D428,VCEPReports,4,FALSE)),"",VLOOKUP(A428&amp;D428,VCEPReports,4,FALSE))</f>
        <v/>
      </c>
      <c r="D428" s="5">
        <v>177868</v>
      </c>
      <c r="E428" s="5" t="s">
        <v>3</v>
      </c>
      <c r="F428" s="6">
        <v>42864</v>
      </c>
      <c r="G428" s="5" t="s">
        <v>210</v>
      </c>
      <c r="H428" s="5" t="s">
        <v>102</v>
      </c>
      <c r="I428" s="5" t="s">
        <v>103</v>
      </c>
      <c r="J428" s="5" t="s">
        <v>0</v>
      </c>
      <c r="K428" s="5" t="s">
        <v>1</v>
      </c>
      <c r="L428" s="5" t="s">
        <v>2</v>
      </c>
      <c r="M428" s="5" t="s">
        <v>915</v>
      </c>
      <c r="N428" s="5" t="s">
        <v>747</v>
      </c>
      <c r="O428" s="5" t="s">
        <v>105</v>
      </c>
      <c r="P428" s="5" t="s">
        <v>9</v>
      </c>
      <c r="XFD428"/>
    </row>
    <row r="429" spans="1:16 16384:16384" s="5" customFormat="1">
      <c r="A429" s="5" t="str">
        <f t="shared" si="12"/>
        <v>RAS</v>
      </c>
      <c r="B429" s="5" t="str">
        <f t="shared" si="13"/>
        <v>RAS177969</v>
      </c>
      <c r="C429" s="5" t="str">
        <f>IF(ISNA(VLOOKUP(A429&amp;D429,VCEPReports,4,FALSE)),"",VLOOKUP(A429&amp;D429,VCEPReports,4,FALSE))</f>
        <v/>
      </c>
      <c r="D429" s="5">
        <v>177969</v>
      </c>
      <c r="E429" s="5" t="s">
        <v>65</v>
      </c>
      <c r="F429" s="6">
        <v>42864</v>
      </c>
      <c r="G429" s="5" t="s">
        <v>343</v>
      </c>
      <c r="H429" s="5" t="s">
        <v>109</v>
      </c>
      <c r="I429" s="5" t="s">
        <v>110</v>
      </c>
      <c r="J429" s="5" t="s">
        <v>0</v>
      </c>
      <c r="K429" s="5" t="s">
        <v>1</v>
      </c>
      <c r="L429" s="5" t="s">
        <v>2</v>
      </c>
      <c r="M429" s="5" t="s">
        <v>915</v>
      </c>
      <c r="N429" s="5" t="s">
        <v>748</v>
      </c>
      <c r="O429" s="5" t="s">
        <v>105</v>
      </c>
      <c r="P429" s="5" t="s">
        <v>9</v>
      </c>
      <c r="XFD429"/>
    </row>
    <row r="430" spans="1:16 16384:16384" s="5" customFormat="1">
      <c r="A430" s="5" t="str">
        <f t="shared" si="12"/>
        <v>RAS</v>
      </c>
      <c r="B430" s="5" t="str">
        <f t="shared" si="13"/>
        <v>RAS178109</v>
      </c>
      <c r="C430" s="5" t="str">
        <f>IF(ISNA(VLOOKUP(A430&amp;D430,VCEPReports,4,FALSE)),"",VLOOKUP(A430&amp;D430,VCEPReports,4,FALSE))</f>
        <v/>
      </c>
      <c r="D430" s="5">
        <v>178109</v>
      </c>
      <c r="E430" s="5" t="s">
        <v>65</v>
      </c>
      <c r="F430" s="6">
        <v>42843</v>
      </c>
      <c r="G430" s="5" t="s">
        <v>219</v>
      </c>
      <c r="H430" s="5" t="s">
        <v>109</v>
      </c>
      <c r="I430" s="5" t="s">
        <v>110</v>
      </c>
      <c r="J430" s="5" t="s">
        <v>0</v>
      </c>
      <c r="K430" s="5" t="s">
        <v>1</v>
      </c>
      <c r="L430" s="5" t="s">
        <v>2</v>
      </c>
      <c r="M430" s="5" t="s">
        <v>915</v>
      </c>
      <c r="N430" s="5" t="s">
        <v>749</v>
      </c>
      <c r="O430" s="5" t="s">
        <v>143</v>
      </c>
      <c r="P430" s="5" t="s">
        <v>9</v>
      </c>
      <c r="XFD430"/>
    </row>
    <row r="431" spans="1:16 16384:16384" s="5" customFormat="1">
      <c r="A431" s="5" t="str">
        <f t="shared" si="12"/>
        <v>HL</v>
      </c>
      <c r="B431" s="5" t="str">
        <f t="shared" si="13"/>
        <v>HL178532</v>
      </c>
      <c r="C431" s="5" t="str">
        <f>IF(ISNA(VLOOKUP(A431&amp;D431,VCEPReports,4,FALSE)),"",VLOOKUP(A431&amp;D431,VCEPReports,4,FALSE))</f>
        <v/>
      </c>
      <c r="D431" s="5">
        <v>178532</v>
      </c>
      <c r="E431" s="5" t="s">
        <v>212</v>
      </c>
      <c r="F431" s="6">
        <v>43371</v>
      </c>
      <c r="G431" s="5" t="s">
        <v>750</v>
      </c>
      <c r="H431" s="5" t="s">
        <v>79</v>
      </c>
      <c r="I431" s="5" t="s">
        <v>80</v>
      </c>
      <c r="J431" s="5" t="s">
        <v>0</v>
      </c>
      <c r="K431" s="5" t="s">
        <v>1</v>
      </c>
      <c r="L431" s="5" t="s">
        <v>2</v>
      </c>
      <c r="M431" s="5" t="s">
        <v>914</v>
      </c>
      <c r="N431" s="5" t="s">
        <v>751</v>
      </c>
      <c r="O431" s="5" t="s">
        <v>522</v>
      </c>
      <c r="P431" s="5" t="s">
        <v>9</v>
      </c>
      <c r="XFD431"/>
    </row>
    <row r="432" spans="1:16 16384:16384" s="5" customFormat="1">
      <c r="A432" s="5" t="str">
        <f t="shared" si="12"/>
        <v>HL</v>
      </c>
      <c r="B432" s="5" t="str">
        <f t="shared" si="13"/>
        <v>HL178638</v>
      </c>
      <c r="C432" s="5" t="str">
        <f>IF(ISNA(VLOOKUP(A432&amp;D432,VCEPReports,4,FALSE)),"",VLOOKUP(A432&amp;D432,VCEPReports,4,FALSE))</f>
        <v/>
      </c>
      <c r="D432" s="5">
        <v>178638</v>
      </c>
      <c r="E432" s="5" t="s">
        <v>65</v>
      </c>
      <c r="F432" s="6">
        <v>43360</v>
      </c>
      <c r="G432" s="5" t="s">
        <v>752</v>
      </c>
      <c r="H432" s="5" t="s">
        <v>79</v>
      </c>
      <c r="I432" s="5" t="s">
        <v>80</v>
      </c>
      <c r="J432" s="5" t="s">
        <v>0</v>
      </c>
      <c r="K432" s="5" t="s">
        <v>1</v>
      </c>
      <c r="L432" s="5" t="s">
        <v>2</v>
      </c>
      <c r="M432" s="5" t="s">
        <v>914</v>
      </c>
      <c r="N432" s="5" t="s">
        <v>753</v>
      </c>
      <c r="O432" s="5" t="s">
        <v>522</v>
      </c>
      <c r="P432" s="5" t="s">
        <v>9</v>
      </c>
      <c r="XFD432"/>
    </row>
    <row r="433" spans="1:16 16384:16384" s="5" customFormat="1">
      <c r="A433" s="5" t="str">
        <f t="shared" si="12"/>
        <v>RAS</v>
      </c>
      <c r="B433" s="5" t="str">
        <f t="shared" si="13"/>
        <v>RAS178666</v>
      </c>
      <c r="C433" s="5" t="str">
        <f>IF(ISNA(VLOOKUP(A433&amp;D433,VCEPReports,4,FALSE)),"",VLOOKUP(A433&amp;D433,VCEPReports,4,FALSE))</f>
        <v/>
      </c>
      <c r="D433" s="5">
        <v>178666</v>
      </c>
      <c r="E433" s="5" t="s">
        <v>65</v>
      </c>
      <c r="F433" s="6">
        <v>42828</v>
      </c>
      <c r="G433" s="5" t="s">
        <v>754</v>
      </c>
      <c r="H433" s="5" t="s">
        <v>109</v>
      </c>
      <c r="I433" s="5" t="s">
        <v>110</v>
      </c>
      <c r="J433" s="5" t="s">
        <v>0</v>
      </c>
      <c r="K433" s="5" t="s">
        <v>1</v>
      </c>
      <c r="L433" s="5" t="s">
        <v>2</v>
      </c>
      <c r="M433" s="5" t="s">
        <v>915</v>
      </c>
      <c r="N433" s="5" t="s">
        <v>755</v>
      </c>
      <c r="O433" s="5" t="s">
        <v>158</v>
      </c>
      <c r="P433" s="5" t="s">
        <v>9</v>
      </c>
      <c r="XFD433"/>
    </row>
    <row r="434" spans="1:16 16384:16384" s="5" customFormat="1">
      <c r="A434" s="5" t="str">
        <f t="shared" si="12"/>
        <v>HL</v>
      </c>
      <c r="B434" s="5" t="str">
        <f t="shared" si="13"/>
        <v>HL178957</v>
      </c>
      <c r="C434" s="5" t="str">
        <f>IF(ISNA(VLOOKUP(A434&amp;D434,VCEPReports,4,FALSE)),"",VLOOKUP(A434&amp;D434,VCEPReports,4,FALSE))</f>
        <v/>
      </c>
      <c r="D434" s="5">
        <v>178957</v>
      </c>
      <c r="E434" s="5" t="s">
        <v>24</v>
      </c>
      <c r="F434" s="6">
        <v>43354</v>
      </c>
      <c r="G434" s="5" t="s">
        <v>756</v>
      </c>
      <c r="H434" s="5" t="s">
        <v>79</v>
      </c>
      <c r="I434" s="5" t="s">
        <v>80</v>
      </c>
      <c r="J434" s="5" t="s">
        <v>0</v>
      </c>
      <c r="K434" s="5" t="s">
        <v>1</v>
      </c>
      <c r="L434" s="5" t="s">
        <v>2</v>
      </c>
      <c r="M434" s="5" t="s">
        <v>914</v>
      </c>
      <c r="N434" s="5" t="s">
        <v>757</v>
      </c>
      <c r="O434" s="5" t="s">
        <v>517</v>
      </c>
      <c r="P434" s="5" t="s">
        <v>9</v>
      </c>
      <c r="XFD434"/>
    </row>
    <row r="435" spans="1:16 16384:16384" s="5" customFormat="1">
      <c r="A435" s="5" t="str">
        <f t="shared" si="12"/>
        <v>HL</v>
      </c>
      <c r="B435" s="5" t="str">
        <f t="shared" si="13"/>
        <v>HL179542</v>
      </c>
      <c r="C435" s="5" t="str">
        <f>IF(ISNA(VLOOKUP(A435&amp;D435,VCEPReports,4,FALSE)),"",VLOOKUP(A435&amp;D435,VCEPReports,4,FALSE))</f>
        <v/>
      </c>
      <c r="D435" s="5">
        <v>179542</v>
      </c>
      <c r="E435" s="5" t="s">
        <v>86</v>
      </c>
      <c r="F435" s="6">
        <v>43371</v>
      </c>
      <c r="G435" s="5" t="s">
        <v>758</v>
      </c>
      <c r="H435" s="5" t="s">
        <v>67</v>
      </c>
      <c r="I435" s="5" t="s">
        <v>68</v>
      </c>
      <c r="J435" s="5" t="s">
        <v>0</v>
      </c>
      <c r="K435" s="5" t="s">
        <v>1</v>
      </c>
      <c r="L435" s="5" t="s">
        <v>2</v>
      </c>
      <c r="M435" s="5" t="s">
        <v>914</v>
      </c>
      <c r="N435" s="5" t="s">
        <v>759</v>
      </c>
      <c r="O435" s="5" t="s">
        <v>70</v>
      </c>
      <c r="P435" s="5" t="s">
        <v>9</v>
      </c>
      <c r="XFD435"/>
    </row>
    <row r="436" spans="1:16 16384:16384" s="5" customFormat="1">
      <c r="A436" s="5" t="str">
        <f t="shared" si="12"/>
        <v>RAS</v>
      </c>
      <c r="B436" s="5" t="str">
        <f t="shared" si="13"/>
        <v>RAS180905</v>
      </c>
      <c r="C436" s="5" t="str">
        <f>IF(ISNA(VLOOKUP(A436&amp;D436,VCEPReports,4,FALSE)),"",VLOOKUP(A436&amp;D436,VCEPReports,4,FALSE))</f>
        <v/>
      </c>
      <c r="D436" s="5">
        <v>180905</v>
      </c>
      <c r="E436" s="5" t="s">
        <v>212</v>
      </c>
      <c r="F436" s="6">
        <v>42864</v>
      </c>
      <c r="G436" s="5" t="s">
        <v>364</v>
      </c>
      <c r="H436" s="5" t="s">
        <v>109</v>
      </c>
      <c r="I436" s="5" t="s">
        <v>110</v>
      </c>
      <c r="J436" s="5" t="s">
        <v>0</v>
      </c>
      <c r="K436" s="5" t="s">
        <v>1</v>
      </c>
      <c r="L436" s="5" t="s">
        <v>2</v>
      </c>
      <c r="M436" s="5" t="s">
        <v>915</v>
      </c>
      <c r="N436" s="5" t="s">
        <v>760</v>
      </c>
      <c r="O436" s="5" t="s">
        <v>105</v>
      </c>
      <c r="P436" s="5" t="s">
        <v>9</v>
      </c>
      <c r="XFD436"/>
    </row>
    <row r="437" spans="1:16 16384:16384" s="5" customFormat="1">
      <c r="A437" s="5" t="str">
        <f t="shared" si="12"/>
        <v>RAS</v>
      </c>
      <c r="B437" s="5" t="str">
        <f t="shared" si="13"/>
        <v>RAS181509</v>
      </c>
      <c r="C437" s="5" t="str">
        <f>IF(ISNA(VLOOKUP(A437&amp;D437,VCEPReports,4,FALSE)),"",VLOOKUP(A437&amp;D437,VCEPReports,4,FALSE))</f>
        <v/>
      </c>
      <c r="D437" s="5">
        <v>181509</v>
      </c>
      <c r="E437" s="5" t="s">
        <v>65</v>
      </c>
      <c r="F437" s="6">
        <v>42843</v>
      </c>
      <c r="G437" s="5" t="s">
        <v>219</v>
      </c>
      <c r="H437" s="5" t="s">
        <v>109</v>
      </c>
      <c r="I437" s="5" t="s">
        <v>110</v>
      </c>
      <c r="J437" s="5" t="s">
        <v>0</v>
      </c>
      <c r="K437" s="5" t="s">
        <v>1</v>
      </c>
      <c r="L437" s="5" t="s">
        <v>2</v>
      </c>
      <c r="M437" s="5" t="s">
        <v>915</v>
      </c>
      <c r="N437" s="5" t="s">
        <v>761</v>
      </c>
      <c r="O437" s="5" t="s">
        <v>158</v>
      </c>
      <c r="P437" s="5" t="s">
        <v>9</v>
      </c>
      <c r="XFD437"/>
    </row>
    <row r="438" spans="1:16 16384:16384" s="5" customFormat="1">
      <c r="A438" s="5" t="str">
        <f t="shared" si="12"/>
        <v>RAS</v>
      </c>
      <c r="B438" s="5" t="str">
        <f t="shared" si="13"/>
        <v>RAS181526</v>
      </c>
      <c r="C438" s="5" t="str">
        <f>IF(ISNA(VLOOKUP(A438&amp;D438,VCEPReports,4,FALSE)),"",VLOOKUP(A438&amp;D438,VCEPReports,4,FALSE))</f>
        <v/>
      </c>
      <c r="D438" s="5">
        <v>181526</v>
      </c>
      <c r="E438" s="5" t="s">
        <v>212</v>
      </c>
      <c r="F438" s="6">
        <v>42843</v>
      </c>
      <c r="G438" s="5" t="s">
        <v>260</v>
      </c>
      <c r="H438" s="5" t="s">
        <v>109</v>
      </c>
      <c r="I438" s="5" t="s">
        <v>110</v>
      </c>
      <c r="J438" s="5" t="s">
        <v>0</v>
      </c>
      <c r="K438" s="5" t="s">
        <v>1</v>
      </c>
      <c r="L438" s="5" t="s">
        <v>2</v>
      </c>
      <c r="M438" s="5" t="s">
        <v>915</v>
      </c>
      <c r="N438" s="5" t="s">
        <v>762</v>
      </c>
      <c r="O438" s="5" t="s">
        <v>93</v>
      </c>
      <c r="P438" s="5" t="s">
        <v>9</v>
      </c>
      <c r="XFD438"/>
    </row>
    <row r="439" spans="1:16 16384:16384" s="5" customFormat="1">
      <c r="A439" s="5" t="str">
        <f t="shared" si="12"/>
        <v>RAS</v>
      </c>
      <c r="B439" s="5" t="str">
        <f t="shared" si="13"/>
        <v>RAS181528</v>
      </c>
      <c r="C439" s="5" t="str">
        <f>IF(ISNA(VLOOKUP(A439&amp;D439,VCEPReports,4,FALSE)),"",VLOOKUP(A439&amp;D439,VCEPReports,4,FALSE))</f>
        <v/>
      </c>
      <c r="D439" s="5">
        <v>181528</v>
      </c>
      <c r="E439" s="5" t="s">
        <v>86</v>
      </c>
      <c r="F439" s="6">
        <v>42828</v>
      </c>
      <c r="G439" s="5" t="s">
        <v>763</v>
      </c>
      <c r="H439" s="5" t="s">
        <v>109</v>
      </c>
      <c r="I439" s="5" t="s">
        <v>110</v>
      </c>
      <c r="J439" s="5" t="s">
        <v>0</v>
      </c>
      <c r="K439" s="5" t="s">
        <v>1</v>
      </c>
      <c r="L439" s="5" t="s">
        <v>2</v>
      </c>
      <c r="M439" s="5" t="s">
        <v>915</v>
      </c>
      <c r="N439" s="5" t="s">
        <v>764</v>
      </c>
      <c r="O439" s="5" t="s">
        <v>93</v>
      </c>
      <c r="P439" s="5" t="s">
        <v>9</v>
      </c>
      <c r="XFD439"/>
    </row>
    <row r="440" spans="1:16 16384:16384" s="5" customFormat="1">
      <c r="A440" s="5" t="str">
        <f t="shared" si="12"/>
        <v>RAS</v>
      </c>
      <c r="B440" s="5" t="str">
        <f t="shared" si="13"/>
        <v>RAS181766</v>
      </c>
      <c r="C440" s="5" t="str">
        <f>IF(ISNA(VLOOKUP(A440&amp;D440,VCEPReports,4,FALSE)),"",VLOOKUP(A440&amp;D440,VCEPReports,4,FALSE))</f>
        <v/>
      </c>
      <c r="D440" s="5">
        <v>181766</v>
      </c>
      <c r="E440" s="5" t="s">
        <v>65</v>
      </c>
      <c r="F440" s="6">
        <v>42843</v>
      </c>
      <c r="G440" s="5" t="s">
        <v>219</v>
      </c>
      <c r="H440" s="5" t="s">
        <v>109</v>
      </c>
      <c r="I440" s="5" t="s">
        <v>110</v>
      </c>
      <c r="J440" s="5" t="s">
        <v>0</v>
      </c>
      <c r="K440" s="5" t="s">
        <v>1</v>
      </c>
      <c r="L440" s="5" t="s">
        <v>2</v>
      </c>
      <c r="M440" s="5" t="s">
        <v>915</v>
      </c>
      <c r="N440" s="5" t="s">
        <v>765</v>
      </c>
      <c r="O440" s="5" t="s">
        <v>143</v>
      </c>
      <c r="P440" s="5" t="s">
        <v>9</v>
      </c>
      <c r="XFD440"/>
    </row>
    <row r="441" spans="1:16 16384:16384" s="5" customFormat="1">
      <c r="A441" s="5" t="str">
        <f t="shared" si="12"/>
        <v>PTEN</v>
      </c>
      <c r="B441" s="5" t="str">
        <f t="shared" si="13"/>
        <v>PTEN183722</v>
      </c>
      <c r="C441" s="5" t="str">
        <f>IF(ISNA(VLOOKUP(A441&amp;D441,VCEPReports,4,FALSE)),"",VLOOKUP(A441&amp;D441,VCEPReports,4,FALSE))</f>
        <v>9a0535ed-2b90-4309-917f-cbcce2549f2a</v>
      </c>
      <c r="D441" s="5">
        <v>183722</v>
      </c>
      <c r="E441" s="5" t="s">
        <v>3</v>
      </c>
      <c r="F441" s="6">
        <v>43026</v>
      </c>
      <c r="G441" s="5" t="s">
        <v>766</v>
      </c>
      <c r="H441" s="5" t="s">
        <v>95</v>
      </c>
      <c r="I441" s="5" t="s">
        <v>96</v>
      </c>
      <c r="J441" s="5" t="s">
        <v>0</v>
      </c>
      <c r="K441" s="5" t="s">
        <v>1</v>
      </c>
      <c r="L441" s="5" t="s">
        <v>2</v>
      </c>
      <c r="M441" s="5" t="s">
        <v>917</v>
      </c>
      <c r="N441" s="5" t="s">
        <v>767</v>
      </c>
      <c r="O441" s="5" t="s">
        <v>98</v>
      </c>
      <c r="P441" s="5" t="s">
        <v>9</v>
      </c>
      <c r="XFD441"/>
    </row>
    <row r="442" spans="1:16 16384:16384" s="5" customFormat="1">
      <c r="A442" s="5" t="str">
        <f t="shared" si="12"/>
        <v>PTEN</v>
      </c>
      <c r="B442" s="5" t="str">
        <f t="shared" si="13"/>
        <v>PTEN184104</v>
      </c>
      <c r="C442" s="5" t="str">
        <f>IF(ISNA(VLOOKUP(A442&amp;D442,VCEPReports,4,FALSE)),"",VLOOKUP(A442&amp;D442,VCEPReports,4,FALSE))</f>
        <v>5ae8d67a-b184-476c-878e-aef6ec246a56</v>
      </c>
      <c r="D442" s="5">
        <v>184104</v>
      </c>
      <c r="E442" s="5" t="s">
        <v>86</v>
      </c>
      <c r="F442" s="6">
        <v>43087</v>
      </c>
      <c r="G442" s="5" t="s">
        <v>768</v>
      </c>
      <c r="H442" s="5" t="s">
        <v>95</v>
      </c>
      <c r="I442" s="5" t="s">
        <v>96</v>
      </c>
      <c r="J442" s="5" t="s">
        <v>0</v>
      </c>
      <c r="K442" s="5" t="s">
        <v>1</v>
      </c>
      <c r="L442" s="5" t="s">
        <v>2</v>
      </c>
      <c r="M442" s="5" t="s">
        <v>917</v>
      </c>
      <c r="N442" s="5" t="s">
        <v>769</v>
      </c>
      <c r="O442" s="5" t="s">
        <v>98</v>
      </c>
      <c r="P442" s="5" t="s">
        <v>9</v>
      </c>
      <c r="XFD442"/>
    </row>
    <row r="443" spans="1:16 16384:16384" s="5" customFormat="1">
      <c r="A443" s="5" t="str">
        <f t="shared" si="12"/>
        <v>PTEN</v>
      </c>
      <c r="B443" s="5" t="str">
        <f t="shared" si="13"/>
        <v>PTEN184505</v>
      </c>
      <c r="C443" s="5" t="str">
        <f>IF(ISNA(VLOOKUP(A443&amp;D443,VCEPReports,4,FALSE)),"",VLOOKUP(A443&amp;D443,VCEPReports,4,FALSE))</f>
        <v>e5e35031-cdfe-44ec-ad5e-0f3892c0a7b1</v>
      </c>
      <c r="D443" s="5">
        <v>184505</v>
      </c>
      <c r="E443" s="5" t="s">
        <v>86</v>
      </c>
      <c r="F443" s="6">
        <v>42718</v>
      </c>
      <c r="G443" s="5" t="s">
        <v>770</v>
      </c>
      <c r="H443" s="5" t="s">
        <v>95</v>
      </c>
      <c r="I443" s="5" t="s">
        <v>96</v>
      </c>
      <c r="J443" s="5" t="s">
        <v>0</v>
      </c>
      <c r="K443" s="5" t="s">
        <v>1</v>
      </c>
      <c r="L443" s="5" t="s">
        <v>2</v>
      </c>
      <c r="M443" s="5" t="s">
        <v>917</v>
      </c>
      <c r="N443" s="5" t="s">
        <v>771</v>
      </c>
      <c r="O443" s="5" t="s">
        <v>98</v>
      </c>
      <c r="P443" s="5" t="s">
        <v>9</v>
      </c>
      <c r="XFD443"/>
    </row>
    <row r="444" spans="1:16 16384:16384" s="5" customFormat="1">
      <c r="A444" s="5" t="str">
        <f t="shared" si="12"/>
        <v>PTEN</v>
      </c>
      <c r="B444" s="5" t="str">
        <f t="shared" si="13"/>
        <v>PTEN185213</v>
      </c>
      <c r="C444" s="5" t="str">
        <f>IF(ISNA(VLOOKUP(A444&amp;D444,VCEPReports,4,FALSE)),"",VLOOKUP(A444&amp;D444,VCEPReports,4,FALSE))</f>
        <v>bfdfbf81-6f26-43f8-aa4b-bbb17ebaf54a</v>
      </c>
      <c r="D444" s="5">
        <v>185213</v>
      </c>
      <c r="E444" s="5" t="s">
        <v>24</v>
      </c>
      <c r="F444" s="6">
        <v>43026</v>
      </c>
      <c r="G444" s="5" t="s">
        <v>772</v>
      </c>
      <c r="H444" s="5" t="s">
        <v>95</v>
      </c>
      <c r="I444" s="5" t="s">
        <v>96</v>
      </c>
      <c r="J444" s="5" t="s">
        <v>0</v>
      </c>
      <c r="K444" s="5" t="s">
        <v>1</v>
      </c>
      <c r="L444" s="5" t="s">
        <v>2</v>
      </c>
      <c r="M444" s="5" t="s">
        <v>917</v>
      </c>
      <c r="N444" s="5" t="s">
        <v>773</v>
      </c>
      <c r="O444" s="5" t="s">
        <v>98</v>
      </c>
      <c r="P444" s="5" t="s">
        <v>9</v>
      </c>
      <c r="XFD444"/>
    </row>
    <row r="445" spans="1:16 16384:16384" s="5" customFormat="1">
      <c r="A445" s="5" t="str">
        <f t="shared" si="12"/>
        <v>PTEN</v>
      </c>
      <c r="B445" s="5" t="str">
        <f t="shared" si="13"/>
        <v>PTEN185989</v>
      </c>
      <c r="C445" s="5" t="str">
        <f>IF(ISNA(VLOOKUP(A445&amp;D445,VCEPReports,4,FALSE)),"",VLOOKUP(A445&amp;D445,VCEPReports,4,FALSE))</f>
        <v>049d3e03-b5ad-4a47-92e9-ee077179049a</v>
      </c>
      <c r="D445" s="5">
        <v>185989</v>
      </c>
      <c r="E445" s="5" t="s">
        <v>86</v>
      </c>
      <c r="F445" s="6">
        <v>43047</v>
      </c>
      <c r="G445" s="5" t="s">
        <v>774</v>
      </c>
      <c r="H445" s="5" t="s">
        <v>95</v>
      </c>
      <c r="I445" s="5" t="s">
        <v>96</v>
      </c>
      <c r="J445" s="5" t="s">
        <v>0</v>
      </c>
      <c r="K445" s="5" t="s">
        <v>1</v>
      </c>
      <c r="L445" s="5" t="s">
        <v>2</v>
      </c>
      <c r="M445" s="5" t="s">
        <v>917</v>
      </c>
      <c r="N445" s="5" t="s">
        <v>775</v>
      </c>
      <c r="O445" s="5" t="s">
        <v>98</v>
      </c>
      <c r="P445" s="5" t="s">
        <v>9</v>
      </c>
      <c r="XFD445"/>
    </row>
    <row r="446" spans="1:16 16384:16384" s="5" customFormat="1">
      <c r="A446" s="5" t="str">
        <f t="shared" si="12"/>
        <v>PTEN</v>
      </c>
      <c r="B446" s="5" t="str">
        <f t="shared" si="13"/>
        <v>PTEN187590</v>
      </c>
      <c r="C446" s="5" t="str">
        <f>IF(ISNA(VLOOKUP(A446&amp;D446,VCEPReports,4,FALSE)),"",VLOOKUP(A446&amp;D446,VCEPReports,4,FALSE))</f>
        <v>8c8c1292-baf8-4fcd-abbf-e22a7793a5dd</v>
      </c>
      <c r="D446" s="5">
        <v>187590</v>
      </c>
      <c r="E446" s="5" t="s">
        <v>24</v>
      </c>
      <c r="F446" s="6">
        <v>43026</v>
      </c>
      <c r="G446" s="5" t="s">
        <v>776</v>
      </c>
      <c r="H446" s="5" t="s">
        <v>95</v>
      </c>
      <c r="I446" s="5" t="s">
        <v>96</v>
      </c>
      <c r="J446" s="5" t="s">
        <v>0</v>
      </c>
      <c r="K446" s="5" t="s">
        <v>1</v>
      </c>
      <c r="L446" s="5" t="s">
        <v>2</v>
      </c>
      <c r="M446" s="5" t="s">
        <v>917</v>
      </c>
      <c r="N446" s="5" t="s">
        <v>777</v>
      </c>
      <c r="O446" s="5" t="s">
        <v>98</v>
      </c>
      <c r="P446" s="5" t="s">
        <v>9</v>
      </c>
      <c r="XFD446"/>
    </row>
    <row r="447" spans="1:16 16384:16384" s="5" customFormat="1">
      <c r="A447" s="5" t="str">
        <f t="shared" si="12"/>
        <v>PTEN</v>
      </c>
      <c r="B447" s="5" t="str">
        <f t="shared" si="13"/>
        <v>PTEN187657</v>
      </c>
      <c r="C447" s="5" t="str">
        <f>IF(ISNA(VLOOKUP(A447&amp;D447,VCEPReports,4,FALSE)),"",VLOOKUP(A447&amp;D447,VCEPReports,4,FALSE))</f>
        <v>f890d81d-90ed-4411-a0fd-a89669dd616a</v>
      </c>
      <c r="D447" s="5">
        <v>187657</v>
      </c>
      <c r="E447" s="5" t="s">
        <v>3</v>
      </c>
      <c r="F447" s="6">
        <v>43026</v>
      </c>
      <c r="G447" s="5" t="s">
        <v>778</v>
      </c>
      <c r="H447" s="5" t="s">
        <v>95</v>
      </c>
      <c r="I447" s="5" t="s">
        <v>96</v>
      </c>
      <c r="J447" s="5" t="s">
        <v>0</v>
      </c>
      <c r="K447" s="5" t="s">
        <v>1</v>
      </c>
      <c r="L447" s="5" t="s">
        <v>2</v>
      </c>
      <c r="M447" s="5" t="s">
        <v>917</v>
      </c>
      <c r="N447" s="5" t="s">
        <v>779</v>
      </c>
      <c r="O447" s="5" t="s">
        <v>98</v>
      </c>
      <c r="P447" s="5" t="s">
        <v>9</v>
      </c>
      <c r="XFD447"/>
    </row>
    <row r="448" spans="1:16 16384:16384" s="5" customFormat="1">
      <c r="A448" s="5" t="str">
        <f t="shared" si="12"/>
        <v>PTEN</v>
      </c>
      <c r="B448" s="5" t="str">
        <f t="shared" si="13"/>
        <v>PTEN187673</v>
      </c>
      <c r="C448" s="5" t="str">
        <f>IF(ISNA(VLOOKUP(A448&amp;D448,VCEPReports,4,FALSE)),"",VLOOKUP(A448&amp;D448,VCEPReports,4,FALSE))</f>
        <v>2353f24f-8466-46ea-838d-a36a749f6a49</v>
      </c>
      <c r="D448" s="5">
        <v>187673</v>
      </c>
      <c r="E448" s="5" t="s">
        <v>86</v>
      </c>
      <c r="F448" s="6">
        <v>43047</v>
      </c>
      <c r="G448" s="5" t="s">
        <v>780</v>
      </c>
      <c r="H448" s="5" t="s">
        <v>95</v>
      </c>
      <c r="I448" s="5" t="s">
        <v>96</v>
      </c>
      <c r="J448" s="5" t="s">
        <v>0</v>
      </c>
      <c r="K448" s="5" t="s">
        <v>1</v>
      </c>
      <c r="L448" s="5" t="s">
        <v>2</v>
      </c>
      <c r="M448" s="5" t="s">
        <v>917</v>
      </c>
      <c r="N448" s="5" t="s">
        <v>781</v>
      </c>
      <c r="O448" s="5" t="s">
        <v>98</v>
      </c>
      <c r="P448" s="5" t="s">
        <v>9</v>
      </c>
      <c r="XFD448"/>
    </row>
    <row r="449" spans="1:16 16384:16384" s="5" customFormat="1">
      <c r="A449" s="5" t="str">
        <f t="shared" si="12"/>
        <v>CARDIO</v>
      </c>
      <c r="B449" s="5" t="str">
        <f t="shared" si="13"/>
        <v>CARDIO188628</v>
      </c>
      <c r="C449" s="5" t="str">
        <f>IF(ISNA(VLOOKUP(A449&amp;D449,VCEPReports,4,FALSE)),"",VLOOKUP(A449&amp;D449,VCEPReports,4,FALSE))</f>
        <v/>
      </c>
      <c r="D449" s="5">
        <v>188628</v>
      </c>
      <c r="E449" s="5" t="s">
        <v>65</v>
      </c>
      <c r="F449" s="6">
        <v>42719</v>
      </c>
      <c r="G449" s="5" t="s">
        <v>222</v>
      </c>
      <c r="H449" s="5" t="s">
        <v>214</v>
      </c>
      <c r="I449" s="5" t="s">
        <v>215</v>
      </c>
      <c r="J449" s="5" t="s">
        <v>0</v>
      </c>
      <c r="K449" s="5" t="s">
        <v>1</v>
      </c>
      <c r="L449" s="5" t="s">
        <v>2</v>
      </c>
      <c r="M449" s="5" t="s">
        <v>933</v>
      </c>
      <c r="N449" s="5" t="s">
        <v>782</v>
      </c>
      <c r="O449" s="5" t="s">
        <v>174</v>
      </c>
      <c r="P449" s="5" t="s">
        <v>9</v>
      </c>
      <c r="XFD449"/>
    </row>
    <row r="450" spans="1:16 16384:16384" s="5" customFormat="1">
      <c r="A450" s="5" t="str">
        <f t="shared" ref="A450:A513" si="14">VLOOKUP(M450,VCEPs,2,FALSE)</f>
        <v>HL</v>
      </c>
      <c r="B450" s="5" t="str">
        <f t="shared" si="13"/>
        <v>HL189148</v>
      </c>
      <c r="C450" s="5" t="str">
        <f>IF(ISNA(VLOOKUP(A450&amp;D450,VCEPReports,4,FALSE)),"",VLOOKUP(A450&amp;D450,VCEPReports,4,FALSE))</f>
        <v/>
      </c>
      <c r="D450" s="5">
        <v>189148</v>
      </c>
      <c r="E450" s="5" t="s">
        <v>3</v>
      </c>
      <c r="F450" s="6">
        <v>43353</v>
      </c>
      <c r="G450" s="5" t="s">
        <v>783</v>
      </c>
      <c r="H450" s="5" t="s">
        <v>72</v>
      </c>
      <c r="I450" s="5" t="s">
        <v>73</v>
      </c>
      <c r="J450" s="5" t="s">
        <v>0</v>
      </c>
      <c r="K450" s="5" t="s">
        <v>1</v>
      </c>
      <c r="L450" s="5" t="s">
        <v>2</v>
      </c>
      <c r="M450" s="5" t="s">
        <v>914</v>
      </c>
      <c r="N450" s="5" t="s">
        <v>784</v>
      </c>
      <c r="O450" s="5" t="s">
        <v>75</v>
      </c>
      <c r="P450" s="5" t="s">
        <v>9</v>
      </c>
      <c r="XFD450"/>
    </row>
    <row r="451" spans="1:16 16384:16384" s="5" customFormat="1">
      <c r="A451" s="5" t="str">
        <f t="shared" si="14"/>
        <v>PTEN</v>
      </c>
      <c r="B451" s="5" t="str">
        <f t="shared" ref="B451:B514" si="15">CONCATENATE(A451,D451)</f>
        <v>PTEN189406</v>
      </c>
      <c r="C451" s="5" t="str">
        <f>IF(ISNA(VLOOKUP(A451&amp;D451,VCEPReports,4,FALSE)),"",VLOOKUP(A451&amp;D451,VCEPReports,4,FALSE))</f>
        <v>11de4e4a-dc77-4323-92c5-151d4868419d</v>
      </c>
      <c r="D451" s="5">
        <v>189406</v>
      </c>
      <c r="E451" s="5" t="s">
        <v>3</v>
      </c>
      <c r="F451" s="6">
        <v>43026</v>
      </c>
      <c r="G451" s="5" t="s">
        <v>785</v>
      </c>
      <c r="H451" s="5" t="s">
        <v>95</v>
      </c>
      <c r="I451" s="5" t="s">
        <v>96</v>
      </c>
      <c r="J451" s="5" t="s">
        <v>0</v>
      </c>
      <c r="K451" s="5" t="s">
        <v>1</v>
      </c>
      <c r="L451" s="5" t="s">
        <v>2</v>
      </c>
      <c r="M451" s="5" t="s">
        <v>917</v>
      </c>
      <c r="N451" s="5" t="s">
        <v>786</v>
      </c>
      <c r="O451" s="5" t="s">
        <v>98</v>
      </c>
      <c r="P451" s="5" t="s">
        <v>9</v>
      </c>
      <c r="XFD451"/>
    </row>
    <row r="452" spans="1:16 16384:16384" s="5" customFormat="1">
      <c r="A452" s="5" t="str">
        <f t="shared" si="14"/>
        <v>PTEN</v>
      </c>
      <c r="B452" s="5" t="str">
        <f t="shared" si="15"/>
        <v>PTEN189411</v>
      </c>
      <c r="C452" s="5" t="str">
        <f>IF(ISNA(VLOOKUP(A452&amp;D452,VCEPReports,4,FALSE)),"",VLOOKUP(A452&amp;D452,VCEPReports,4,FALSE))</f>
        <v>276b536d-e9cf-488e-a7bf-d2d8d0b119b6</v>
      </c>
      <c r="D452" s="5">
        <v>189411</v>
      </c>
      <c r="E452" s="5" t="s">
        <v>3</v>
      </c>
      <c r="F452" s="6">
        <v>43026</v>
      </c>
      <c r="G452" s="5" t="s">
        <v>787</v>
      </c>
      <c r="H452" s="5" t="s">
        <v>95</v>
      </c>
      <c r="I452" s="5" t="s">
        <v>96</v>
      </c>
      <c r="J452" s="5" t="s">
        <v>0</v>
      </c>
      <c r="K452" s="5" t="s">
        <v>1</v>
      </c>
      <c r="L452" s="5" t="s">
        <v>2</v>
      </c>
      <c r="M452" s="5" t="s">
        <v>917</v>
      </c>
      <c r="N452" s="5" t="s">
        <v>788</v>
      </c>
      <c r="O452" s="5" t="s">
        <v>98</v>
      </c>
      <c r="P452" s="5" t="s">
        <v>9</v>
      </c>
      <c r="XFD452"/>
    </row>
    <row r="453" spans="1:16 16384:16384" s="5" customFormat="1">
      <c r="A453" s="5" t="str">
        <f t="shared" si="14"/>
        <v>PTEN</v>
      </c>
      <c r="B453" s="5" t="str">
        <f t="shared" si="15"/>
        <v>PTEN189424</v>
      </c>
      <c r="C453" s="5" t="str">
        <f>IF(ISNA(VLOOKUP(A453&amp;D453,VCEPReports,4,FALSE)),"",VLOOKUP(A453&amp;D453,VCEPReports,4,FALSE))</f>
        <v>e5c0aa16-de66-441e-9ef7-cda008c2cef7</v>
      </c>
      <c r="D453" s="5">
        <v>189424</v>
      </c>
      <c r="E453" s="5" t="s">
        <v>86</v>
      </c>
      <c r="F453" s="6">
        <v>43196</v>
      </c>
      <c r="G453" s="5" t="s">
        <v>942</v>
      </c>
      <c r="H453" s="5" t="s">
        <v>95</v>
      </c>
      <c r="I453" s="5" t="s">
        <v>96</v>
      </c>
      <c r="J453" s="5" t="s">
        <v>0</v>
      </c>
      <c r="K453" s="5" t="s">
        <v>1</v>
      </c>
      <c r="L453" s="5" t="s">
        <v>2</v>
      </c>
      <c r="M453" s="5" t="s">
        <v>917</v>
      </c>
      <c r="N453" s="5" t="s">
        <v>943</v>
      </c>
      <c r="O453" s="5" t="s">
        <v>98</v>
      </c>
      <c r="P453" s="5" t="s">
        <v>9</v>
      </c>
      <c r="XFD453"/>
    </row>
    <row r="454" spans="1:16 16384:16384" s="5" customFormat="1">
      <c r="A454" s="5" t="str">
        <f t="shared" si="14"/>
        <v>PTEN</v>
      </c>
      <c r="B454" s="5" t="str">
        <f t="shared" si="15"/>
        <v>PTEN189425</v>
      </c>
      <c r="C454" s="5" t="str">
        <f>IF(ISNA(VLOOKUP(A454&amp;D454,VCEPReports,4,FALSE)),"",VLOOKUP(A454&amp;D454,VCEPReports,4,FALSE))</f>
        <v>a81bf7b8-305b-4704-bf65-95e6aa54b5ba</v>
      </c>
      <c r="D454" s="5">
        <v>189425</v>
      </c>
      <c r="E454" s="5" t="s">
        <v>212</v>
      </c>
      <c r="F454" s="6">
        <v>42718</v>
      </c>
      <c r="G454" s="5" t="s">
        <v>789</v>
      </c>
      <c r="H454" s="5" t="s">
        <v>95</v>
      </c>
      <c r="I454" s="5" t="s">
        <v>96</v>
      </c>
      <c r="J454" s="5" t="s">
        <v>0</v>
      </c>
      <c r="K454" s="5" t="s">
        <v>1</v>
      </c>
      <c r="L454" s="5" t="s">
        <v>2</v>
      </c>
      <c r="M454" s="5" t="s">
        <v>917</v>
      </c>
      <c r="N454" s="5" t="s">
        <v>790</v>
      </c>
      <c r="O454" s="5" t="s">
        <v>98</v>
      </c>
      <c r="P454" s="5" t="s">
        <v>9</v>
      </c>
      <c r="XFD454"/>
    </row>
    <row r="455" spans="1:16 16384:16384" s="5" customFormat="1">
      <c r="A455" s="5" t="str">
        <f t="shared" si="14"/>
        <v>PTEN</v>
      </c>
      <c r="B455" s="5" t="str">
        <f t="shared" si="15"/>
        <v>PTEN189426</v>
      </c>
      <c r="C455" s="5" t="str">
        <f>IF(ISNA(VLOOKUP(A455&amp;D455,VCEPReports,4,FALSE)),"",VLOOKUP(A455&amp;D455,VCEPReports,4,FALSE))</f>
        <v>53c09c9e-b77c-4949-8aef-58bcb3346e87</v>
      </c>
      <c r="D455" s="5">
        <v>189426</v>
      </c>
      <c r="E455" s="5" t="s">
        <v>212</v>
      </c>
      <c r="F455" s="6">
        <v>42718</v>
      </c>
      <c r="G455" s="5" t="s">
        <v>791</v>
      </c>
      <c r="H455" s="5" t="s">
        <v>95</v>
      </c>
      <c r="I455" s="5" t="s">
        <v>96</v>
      </c>
      <c r="J455" s="5" t="s">
        <v>0</v>
      </c>
      <c r="K455" s="5" t="s">
        <v>1</v>
      </c>
      <c r="L455" s="5" t="s">
        <v>2</v>
      </c>
      <c r="M455" s="5" t="s">
        <v>917</v>
      </c>
      <c r="N455" s="5" t="s">
        <v>792</v>
      </c>
      <c r="O455" s="5" t="s">
        <v>98</v>
      </c>
      <c r="P455" s="5" t="s">
        <v>9</v>
      </c>
      <c r="XFD455"/>
    </row>
    <row r="456" spans="1:16 16384:16384" s="5" customFormat="1">
      <c r="A456" s="5" t="str">
        <f t="shared" si="14"/>
        <v>PTEN</v>
      </c>
      <c r="B456" s="5" t="str">
        <f t="shared" si="15"/>
        <v>PTEN189441</v>
      </c>
      <c r="C456" s="5" t="str">
        <f>IF(ISNA(VLOOKUP(A456&amp;D456,VCEPReports,4,FALSE)),"",VLOOKUP(A456&amp;D456,VCEPReports,4,FALSE))</f>
        <v>e41ad782-4c9c-4ae6-ba02-ec2e11c967fc</v>
      </c>
      <c r="D456" s="5">
        <v>189441</v>
      </c>
      <c r="E456" s="5" t="s">
        <v>3</v>
      </c>
      <c r="F456" s="6">
        <v>43026</v>
      </c>
      <c r="G456" s="5" t="s">
        <v>793</v>
      </c>
      <c r="H456" s="5" t="s">
        <v>95</v>
      </c>
      <c r="I456" s="5" t="s">
        <v>96</v>
      </c>
      <c r="J456" s="5" t="s">
        <v>0</v>
      </c>
      <c r="K456" s="5" t="s">
        <v>1</v>
      </c>
      <c r="L456" s="5" t="s">
        <v>2</v>
      </c>
      <c r="M456" s="5" t="s">
        <v>917</v>
      </c>
      <c r="N456" s="5" t="s">
        <v>794</v>
      </c>
      <c r="O456" s="5" t="s">
        <v>98</v>
      </c>
      <c r="P456" s="5" t="s">
        <v>9</v>
      </c>
      <c r="XFD456"/>
    </row>
    <row r="457" spans="1:16 16384:16384" s="5" customFormat="1">
      <c r="A457" s="5" t="str">
        <f t="shared" si="14"/>
        <v>PTEN</v>
      </c>
      <c r="B457" s="5" t="str">
        <f t="shared" si="15"/>
        <v>PTEN189462</v>
      </c>
      <c r="C457" s="5" t="str">
        <f>IF(ISNA(VLOOKUP(A457&amp;D457,VCEPReports,4,FALSE)),"",VLOOKUP(A457&amp;D457,VCEPReports,4,FALSE))</f>
        <v>2f607d68-ce7c-4110-9640-98a0992a2d02</v>
      </c>
      <c r="D457" s="5">
        <v>189462</v>
      </c>
      <c r="E457" s="5" t="s">
        <v>24</v>
      </c>
      <c r="F457" s="6">
        <v>43026</v>
      </c>
      <c r="G457" s="5" t="s">
        <v>795</v>
      </c>
      <c r="H457" s="5" t="s">
        <v>95</v>
      </c>
      <c r="I457" s="5" t="s">
        <v>96</v>
      </c>
      <c r="J457" s="5" t="s">
        <v>0</v>
      </c>
      <c r="K457" s="5" t="s">
        <v>1</v>
      </c>
      <c r="L457" s="5" t="s">
        <v>2</v>
      </c>
      <c r="M457" s="5" t="s">
        <v>917</v>
      </c>
      <c r="N457" s="5" t="s">
        <v>796</v>
      </c>
      <c r="O457" s="5" t="s">
        <v>98</v>
      </c>
      <c r="P457" s="5" t="s">
        <v>9</v>
      </c>
      <c r="XFD457"/>
    </row>
    <row r="458" spans="1:16 16384:16384" s="5" customFormat="1">
      <c r="A458" s="5" t="str">
        <f t="shared" si="14"/>
        <v>PTEN</v>
      </c>
      <c r="B458" s="5" t="str">
        <f t="shared" si="15"/>
        <v>PTEN189500</v>
      </c>
      <c r="C458" s="5" t="str">
        <f>IF(ISNA(VLOOKUP(A458&amp;D458,VCEPReports,4,FALSE)),"",VLOOKUP(A458&amp;D458,VCEPReports,4,FALSE))</f>
        <v>8f2c1cdc-0442-4dc1-ace0-ee811465348e</v>
      </c>
      <c r="D458" s="5">
        <v>189500</v>
      </c>
      <c r="E458" s="5" t="s">
        <v>3</v>
      </c>
      <c r="F458" s="6">
        <v>43026</v>
      </c>
      <c r="G458" s="5" t="s">
        <v>797</v>
      </c>
      <c r="H458" s="5" t="s">
        <v>95</v>
      </c>
      <c r="I458" s="5" t="s">
        <v>96</v>
      </c>
      <c r="J458" s="5" t="s">
        <v>0</v>
      </c>
      <c r="K458" s="5" t="s">
        <v>1</v>
      </c>
      <c r="L458" s="5" t="s">
        <v>2</v>
      </c>
      <c r="M458" s="5" t="s">
        <v>917</v>
      </c>
      <c r="N458" s="5" t="s">
        <v>798</v>
      </c>
      <c r="O458" s="5" t="s">
        <v>98</v>
      </c>
      <c r="P458" s="5" t="s">
        <v>9</v>
      </c>
      <c r="XFD458"/>
    </row>
    <row r="459" spans="1:16 16384:16384" s="5" customFormat="1">
      <c r="A459" s="5" t="str">
        <f t="shared" si="14"/>
        <v>PTEN</v>
      </c>
      <c r="B459" s="5" t="str">
        <f t="shared" si="15"/>
        <v>PTEN189520</v>
      </c>
      <c r="C459" s="5" t="str">
        <f>IF(ISNA(VLOOKUP(A459&amp;D459,VCEPReports,4,FALSE)),"",VLOOKUP(A459&amp;D459,VCEPReports,4,FALSE))</f>
        <v>271c91d3-d627-42bf-86bc-ba9a7f7f2189</v>
      </c>
      <c r="D459" s="5">
        <v>189520</v>
      </c>
      <c r="E459" s="5" t="s">
        <v>65</v>
      </c>
      <c r="F459" s="6">
        <v>42627</v>
      </c>
      <c r="G459" s="5" t="s">
        <v>799</v>
      </c>
      <c r="H459" s="5" t="s">
        <v>95</v>
      </c>
      <c r="I459" s="5" t="s">
        <v>96</v>
      </c>
      <c r="J459" s="5" t="s">
        <v>0</v>
      </c>
      <c r="K459" s="5" t="s">
        <v>1</v>
      </c>
      <c r="L459" s="5" t="s">
        <v>2</v>
      </c>
      <c r="M459" s="5" t="s">
        <v>917</v>
      </c>
      <c r="N459" s="5" t="s">
        <v>800</v>
      </c>
      <c r="O459" s="5" t="s">
        <v>98</v>
      </c>
      <c r="P459" s="5" t="s">
        <v>9</v>
      </c>
      <c r="XFD459"/>
    </row>
    <row r="460" spans="1:16 16384:16384" s="5" customFormat="1">
      <c r="A460" s="5" t="str">
        <f t="shared" si="14"/>
        <v>HL</v>
      </c>
      <c r="B460" s="5" t="str">
        <f t="shared" si="15"/>
        <v>HL197510</v>
      </c>
      <c r="C460" s="5" t="str">
        <f>IF(ISNA(VLOOKUP(A460&amp;D460,VCEPReports,4,FALSE)),"",VLOOKUP(A460&amp;D460,VCEPReports,4,FALSE))</f>
        <v/>
      </c>
      <c r="D460" s="5">
        <v>197510</v>
      </c>
      <c r="E460" s="5" t="s">
        <v>3</v>
      </c>
      <c r="F460" s="6">
        <v>43367</v>
      </c>
      <c r="G460" s="5" t="s">
        <v>801</v>
      </c>
      <c r="H460" s="5" t="s">
        <v>67</v>
      </c>
      <c r="I460" s="5" t="s">
        <v>68</v>
      </c>
      <c r="J460" s="5" t="s">
        <v>0</v>
      </c>
      <c r="K460" s="5" t="s">
        <v>1</v>
      </c>
      <c r="L460" s="5" t="s">
        <v>2</v>
      </c>
      <c r="M460" s="5" t="s">
        <v>914</v>
      </c>
      <c r="N460" s="5" t="s">
        <v>802</v>
      </c>
      <c r="O460" s="5" t="s">
        <v>70</v>
      </c>
      <c r="P460" s="5" t="s">
        <v>9</v>
      </c>
      <c r="XFD460"/>
    </row>
    <row r="461" spans="1:16 16384:16384" s="5" customFormat="1">
      <c r="A461" s="5" t="str">
        <f t="shared" si="14"/>
        <v>RAS</v>
      </c>
      <c r="B461" s="5" t="str">
        <f t="shared" si="15"/>
        <v>RAS197778</v>
      </c>
      <c r="C461" s="5" t="str">
        <f>IF(ISNA(VLOOKUP(A461&amp;D461,VCEPReports,4,FALSE)),"",VLOOKUP(A461&amp;D461,VCEPReports,4,FALSE))</f>
        <v/>
      </c>
      <c r="D461" s="5">
        <v>197778</v>
      </c>
      <c r="E461" s="5" t="s">
        <v>212</v>
      </c>
      <c r="F461" s="6">
        <v>42843</v>
      </c>
      <c r="G461" s="5" t="s">
        <v>260</v>
      </c>
      <c r="H461" s="5" t="s">
        <v>109</v>
      </c>
      <c r="I461" s="5" t="s">
        <v>110</v>
      </c>
      <c r="J461" s="5" t="s">
        <v>0</v>
      </c>
      <c r="K461" s="5" t="s">
        <v>1</v>
      </c>
      <c r="L461" s="5" t="s">
        <v>2</v>
      </c>
      <c r="M461" s="5" t="s">
        <v>915</v>
      </c>
      <c r="N461" s="5" t="s">
        <v>803</v>
      </c>
      <c r="O461" s="5" t="s">
        <v>140</v>
      </c>
      <c r="P461" s="5" t="s">
        <v>9</v>
      </c>
      <c r="XFD461"/>
    </row>
    <row r="462" spans="1:16 16384:16384" s="5" customFormat="1">
      <c r="A462" s="5" t="str">
        <f t="shared" si="14"/>
        <v>HL</v>
      </c>
      <c r="B462" s="5" t="str">
        <f t="shared" si="15"/>
        <v>HL198366</v>
      </c>
      <c r="C462" s="5" t="str">
        <f>IF(ISNA(VLOOKUP(A462&amp;D462,VCEPReports,4,FALSE)),"",VLOOKUP(A462&amp;D462,VCEPReports,4,FALSE))</f>
        <v/>
      </c>
      <c r="D462" s="5">
        <v>198366</v>
      </c>
      <c r="E462" s="5" t="s">
        <v>86</v>
      </c>
      <c r="F462" s="6">
        <v>43371</v>
      </c>
      <c r="G462" s="5" t="s">
        <v>804</v>
      </c>
      <c r="H462" s="5" t="s">
        <v>67</v>
      </c>
      <c r="I462" s="5" t="s">
        <v>68</v>
      </c>
      <c r="J462" s="5" t="s">
        <v>0</v>
      </c>
      <c r="K462" s="5" t="s">
        <v>1</v>
      </c>
      <c r="L462" s="5" t="s">
        <v>2</v>
      </c>
      <c r="M462" s="5" t="s">
        <v>914</v>
      </c>
      <c r="N462" s="5" t="s">
        <v>805</v>
      </c>
      <c r="O462" s="5" t="s">
        <v>70</v>
      </c>
      <c r="P462" s="5" t="s">
        <v>9</v>
      </c>
      <c r="XFD462"/>
    </row>
    <row r="463" spans="1:16 16384:16384" s="5" customFormat="1">
      <c r="A463" s="5" t="str">
        <f t="shared" si="14"/>
        <v>PTEN</v>
      </c>
      <c r="B463" s="5" t="str">
        <f t="shared" si="15"/>
        <v>PTEN220007</v>
      </c>
      <c r="C463" s="5" t="str">
        <f>IF(ISNA(VLOOKUP(A463&amp;D463,VCEPReports,4,FALSE)),"",VLOOKUP(A463&amp;D463,VCEPReports,4,FALSE))</f>
        <v>3905138e-990e-4b30-b0aa-96ad556248ac</v>
      </c>
      <c r="D463" s="5">
        <v>220007</v>
      </c>
      <c r="E463" s="5" t="s">
        <v>24</v>
      </c>
      <c r="F463" s="6">
        <v>43369</v>
      </c>
      <c r="G463" s="5" t="s">
        <v>806</v>
      </c>
      <c r="H463" s="5" t="s">
        <v>95</v>
      </c>
      <c r="I463" s="5" t="s">
        <v>96</v>
      </c>
      <c r="J463" s="5" t="s">
        <v>0</v>
      </c>
      <c r="K463" s="5" t="s">
        <v>1</v>
      </c>
      <c r="L463" s="5" t="s">
        <v>2</v>
      </c>
      <c r="M463" s="5" t="s">
        <v>917</v>
      </c>
      <c r="N463" s="5" t="s">
        <v>807</v>
      </c>
      <c r="O463" s="5" t="s">
        <v>98</v>
      </c>
      <c r="P463" s="5" t="s">
        <v>9</v>
      </c>
      <c r="XFD463"/>
    </row>
    <row r="464" spans="1:16 16384:16384" s="5" customFormat="1">
      <c r="A464" s="5" t="str">
        <f t="shared" si="14"/>
        <v>RAS</v>
      </c>
      <c r="B464" s="5" t="str">
        <f t="shared" si="15"/>
        <v>RAS222076</v>
      </c>
      <c r="C464" s="5" t="str">
        <f>IF(ISNA(VLOOKUP(A464&amp;D464,VCEPReports,4,FALSE)),"",VLOOKUP(A464&amp;D464,VCEPReports,4,FALSE))</f>
        <v/>
      </c>
      <c r="D464" s="5">
        <v>222076</v>
      </c>
      <c r="E464" s="5" t="s">
        <v>212</v>
      </c>
      <c r="F464" s="6">
        <v>42843</v>
      </c>
      <c r="G464" s="5" t="s">
        <v>260</v>
      </c>
      <c r="H464" s="5" t="s">
        <v>109</v>
      </c>
      <c r="I464" s="5" t="s">
        <v>110</v>
      </c>
      <c r="J464" s="5" t="s">
        <v>0</v>
      </c>
      <c r="K464" s="5" t="s">
        <v>1</v>
      </c>
      <c r="L464" s="5" t="s">
        <v>2</v>
      </c>
      <c r="M464" s="5" t="s">
        <v>915</v>
      </c>
      <c r="N464" s="5" t="s">
        <v>808</v>
      </c>
      <c r="O464" s="5" t="s">
        <v>131</v>
      </c>
      <c r="P464" s="5" t="s">
        <v>9</v>
      </c>
      <c r="XFD464"/>
    </row>
    <row r="465" spans="1:16 16384:16384" s="5" customFormat="1">
      <c r="A465" s="5" t="str">
        <f t="shared" si="14"/>
        <v>PAH</v>
      </c>
      <c r="B465" s="5" t="str">
        <f t="shared" si="15"/>
        <v>PAH225135</v>
      </c>
      <c r="C465" s="5" t="str">
        <f>IF(ISNA(VLOOKUP(A465&amp;D465,VCEPReports,4,FALSE)),"",VLOOKUP(A465&amp;D465,VCEPReports,4,FALSE))</f>
        <v/>
      </c>
      <c r="D465" s="5">
        <v>225135</v>
      </c>
      <c r="E465" s="5" t="s">
        <v>86</v>
      </c>
      <c r="F465" s="6">
        <v>43322</v>
      </c>
      <c r="G465" s="5" t="s">
        <v>809</v>
      </c>
      <c r="H465" s="5" t="s">
        <v>5</v>
      </c>
      <c r="I465" s="5" t="s">
        <v>6</v>
      </c>
      <c r="J465" s="5" t="s">
        <v>0</v>
      </c>
      <c r="K465" s="5" t="s">
        <v>1</v>
      </c>
      <c r="L465" s="5" t="s">
        <v>2</v>
      </c>
      <c r="M465" s="5" t="s">
        <v>913</v>
      </c>
      <c r="N465" s="5" t="s">
        <v>810</v>
      </c>
      <c r="O465" s="5" t="s">
        <v>8</v>
      </c>
      <c r="P465" s="5" t="s">
        <v>9</v>
      </c>
      <c r="XFD465"/>
    </row>
    <row r="466" spans="1:16 16384:16384" s="5" customFormat="1">
      <c r="A466" s="5" t="str">
        <f t="shared" si="14"/>
        <v>HL</v>
      </c>
      <c r="B466" s="5" t="str">
        <f t="shared" si="15"/>
        <v>HL227469</v>
      </c>
      <c r="C466" s="5" t="str">
        <f>IF(ISNA(VLOOKUP(A466&amp;D466,VCEPReports,4,FALSE)),"",VLOOKUP(A466&amp;D466,VCEPReports,4,FALSE))</f>
        <v/>
      </c>
      <c r="D466" s="5">
        <v>227469</v>
      </c>
      <c r="E466" s="5" t="s">
        <v>212</v>
      </c>
      <c r="F466" s="6">
        <v>43371</v>
      </c>
      <c r="G466" s="5" t="s">
        <v>811</v>
      </c>
      <c r="H466" s="5" t="s">
        <v>79</v>
      </c>
      <c r="I466" s="5" t="s">
        <v>80</v>
      </c>
      <c r="J466" s="5" t="s">
        <v>0</v>
      </c>
      <c r="K466" s="5" t="s">
        <v>1</v>
      </c>
      <c r="L466" s="5" t="s">
        <v>2</v>
      </c>
      <c r="M466" s="5" t="s">
        <v>914</v>
      </c>
      <c r="N466" s="5" t="s">
        <v>812</v>
      </c>
      <c r="O466" s="5" t="s">
        <v>82</v>
      </c>
      <c r="P466" s="5" t="s">
        <v>9</v>
      </c>
      <c r="XFD466"/>
    </row>
    <row r="467" spans="1:16 16384:16384" s="5" customFormat="1">
      <c r="A467" s="5" t="str">
        <f t="shared" si="14"/>
        <v>HL</v>
      </c>
      <c r="B467" s="5" t="str">
        <f t="shared" si="15"/>
        <v>HL228491</v>
      </c>
      <c r="C467" s="5" t="str">
        <f>IF(ISNA(VLOOKUP(A467&amp;D467,VCEPReports,4,FALSE)),"",VLOOKUP(A467&amp;D467,VCEPReports,4,FALSE))</f>
        <v/>
      </c>
      <c r="D467" s="5">
        <v>228491</v>
      </c>
      <c r="E467" s="5" t="s">
        <v>24</v>
      </c>
      <c r="F467" s="6">
        <v>43353</v>
      </c>
      <c r="G467" s="5" t="s">
        <v>813</v>
      </c>
      <c r="H467" s="5" t="s">
        <v>67</v>
      </c>
      <c r="I467" s="5" t="s">
        <v>68</v>
      </c>
      <c r="J467" s="5" t="s">
        <v>0</v>
      </c>
      <c r="K467" s="5" t="s">
        <v>1</v>
      </c>
      <c r="L467" s="5" t="s">
        <v>2</v>
      </c>
      <c r="M467" s="5" t="s">
        <v>914</v>
      </c>
      <c r="N467" s="5" t="s">
        <v>814</v>
      </c>
      <c r="O467" s="5" t="s">
        <v>815</v>
      </c>
      <c r="P467" s="5" t="s">
        <v>9</v>
      </c>
      <c r="XFD467"/>
    </row>
    <row r="468" spans="1:16 16384:16384" s="5" customFormat="1">
      <c r="A468" s="5" t="str">
        <f t="shared" si="14"/>
        <v>PTEN</v>
      </c>
      <c r="B468" s="5" t="str">
        <f t="shared" si="15"/>
        <v>PTEN231916</v>
      </c>
      <c r="C468" s="5" t="str">
        <f>IF(ISNA(VLOOKUP(A468&amp;D468,VCEPReports,4,FALSE)),"",VLOOKUP(A468&amp;D468,VCEPReports,4,FALSE))</f>
        <v>4f6345e3-25b1-48cd-9697-1a5624715071</v>
      </c>
      <c r="D468" s="5">
        <v>231916</v>
      </c>
      <c r="E468" s="5" t="s">
        <v>24</v>
      </c>
      <c r="F468" s="6">
        <v>43026</v>
      </c>
      <c r="G468" s="5" t="s">
        <v>816</v>
      </c>
      <c r="H468" s="5" t="s">
        <v>95</v>
      </c>
      <c r="I468" s="5" t="s">
        <v>96</v>
      </c>
      <c r="J468" s="5" t="s">
        <v>0</v>
      </c>
      <c r="K468" s="5" t="s">
        <v>1</v>
      </c>
      <c r="L468" s="5" t="s">
        <v>2</v>
      </c>
      <c r="M468" s="5" t="s">
        <v>917</v>
      </c>
      <c r="N468" s="5" t="s">
        <v>817</v>
      </c>
      <c r="O468" s="5" t="s">
        <v>98</v>
      </c>
      <c r="P468" s="5" t="s">
        <v>9</v>
      </c>
      <c r="XFD468"/>
    </row>
    <row r="469" spans="1:16 16384:16384" s="5" customFormat="1">
      <c r="A469" s="5" t="str">
        <f t="shared" si="14"/>
        <v>PTEN</v>
      </c>
      <c r="B469" s="5" t="str">
        <f t="shared" si="15"/>
        <v>PTEN233415</v>
      </c>
      <c r="C469" s="5" t="str">
        <f>IF(ISNA(VLOOKUP(A469&amp;D469,VCEPReports,4,FALSE)),"",VLOOKUP(A469&amp;D469,VCEPReports,4,FALSE))</f>
        <v>747804f8-133a-4807-9f7e-4c8798e82ee5</v>
      </c>
      <c r="D469" s="5">
        <v>233415</v>
      </c>
      <c r="E469" s="5" t="s">
        <v>212</v>
      </c>
      <c r="F469" s="6">
        <v>42655</v>
      </c>
      <c r="G469" s="5" t="s">
        <v>818</v>
      </c>
      <c r="H469" s="5" t="s">
        <v>95</v>
      </c>
      <c r="I469" s="5" t="s">
        <v>96</v>
      </c>
      <c r="J469" s="5" t="s">
        <v>0</v>
      </c>
      <c r="K469" s="5" t="s">
        <v>1</v>
      </c>
      <c r="L469" s="5" t="s">
        <v>2</v>
      </c>
      <c r="M469" s="5" t="s">
        <v>917</v>
      </c>
      <c r="N469" s="5" t="s">
        <v>819</v>
      </c>
      <c r="O469" s="5" t="s">
        <v>98</v>
      </c>
      <c r="P469" s="5" t="s">
        <v>9</v>
      </c>
      <c r="XFD469"/>
    </row>
    <row r="470" spans="1:16 16384:16384" s="5" customFormat="1">
      <c r="A470" s="5" t="str">
        <f t="shared" si="14"/>
        <v>RAS</v>
      </c>
      <c r="B470" s="5" t="str">
        <f t="shared" si="15"/>
        <v>RAS259747</v>
      </c>
      <c r="C470" s="5" t="str">
        <f>IF(ISNA(VLOOKUP(A470&amp;D470,VCEPReports,4,FALSE)),"",VLOOKUP(A470&amp;D470,VCEPReports,4,FALSE))</f>
        <v/>
      </c>
      <c r="D470" s="5">
        <v>259747</v>
      </c>
      <c r="E470" s="5" t="s">
        <v>65</v>
      </c>
      <c r="F470" s="6">
        <v>42843</v>
      </c>
      <c r="G470" s="5" t="s">
        <v>219</v>
      </c>
      <c r="H470" s="5" t="s">
        <v>109</v>
      </c>
      <c r="I470" s="5" t="s">
        <v>110</v>
      </c>
      <c r="J470" s="5" t="s">
        <v>0</v>
      </c>
      <c r="K470" s="5" t="s">
        <v>1</v>
      </c>
      <c r="L470" s="5" t="s">
        <v>2</v>
      </c>
      <c r="M470" s="5" t="s">
        <v>915</v>
      </c>
      <c r="N470" s="5" t="s">
        <v>820</v>
      </c>
      <c r="O470" s="5" t="s">
        <v>131</v>
      </c>
      <c r="P470" s="5" t="s">
        <v>9</v>
      </c>
      <c r="XFD470"/>
    </row>
    <row r="471" spans="1:16 16384:16384" s="5" customFormat="1">
      <c r="A471" s="5" t="str">
        <f t="shared" si="14"/>
        <v>RAS</v>
      </c>
      <c r="B471" s="5" t="str">
        <f t="shared" si="15"/>
        <v>RAS261928</v>
      </c>
      <c r="C471" s="5" t="str">
        <f>IF(ISNA(VLOOKUP(A471&amp;D471,VCEPReports,4,FALSE)),"",VLOOKUP(A471&amp;D471,VCEPReports,4,FALSE))</f>
        <v/>
      </c>
      <c r="D471" s="5">
        <v>261928</v>
      </c>
      <c r="E471" s="5" t="s">
        <v>65</v>
      </c>
      <c r="F471" s="6">
        <v>42864</v>
      </c>
      <c r="G471" s="5" t="s">
        <v>343</v>
      </c>
      <c r="H471" s="5" t="s">
        <v>109</v>
      </c>
      <c r="I471" s="5" t="s">
        <v>110</v>
      </c>
      <c r="J471" s="5" t="s">
        <v>0</v>
      </c>
      <c r="K471" s="5" t="s">
        <v>1</v>
      </c>
      <c r="L471" s="5" t="s">
        <v>2</v>
      </c>
      <c r="M471" s="5" t="s">
        <v>915</v>
      </c>
      <c r="N471" s="5" t="s">
        <v>821</v>
      </c>
      <c r="O471" s="5" t="s">
        <v>105</v>
      </c>
      <c r="P471" s="5" t="s">
        <v>9</v>
      </c>
      <c r="XFD471"/>
    </row>
    <row r="472" spans="1:16 16384:16384" s="5" customFormat="1">
      <c r="A472" s="5" t="str">
        <f t="shared" si="14"/>
        <v>PAH</v>
      </c>
      <c r="B472" s="5" t="str">
        <f t="shared" si="15"/>
        <v>PAH281073</v>
      </c>
      <c r="C472" s="5" t="str">
        <f>IF(ISNA(VLOOKUP(A472&amp;D472,VCEPReports,4,FALSE)),"",VLOOKUP(A472&amp;D472,VCEPReports,4,FALSE))</f>
        <v/>
      </c>
      <c r="D472" s="5">
        <v>281073</v>
      </c>
      <c r="E472" s="5" t="s">
        <v>86</v>
      </c>
      <c r="F472" s="6">
        <v>43322</v>
      </c>
      <c r="G472" s="5" t="s">
        <v>822</v>
      </c>
      <c r="H472" s="5" t="s">
        <v>5</v>
      </c>
      <c r="I472" s="5" t="s">
        <v>6</v>
      </c>
      <c r="J472" s="5" t="s">
        <v>0</v>
      </c>
      <c r="K472" s="5" t="s">
        <v>1</v>
      </c>
      <c r="L472" s="5" t="s">
        <v>2</v>
      </c>
      <c r="M472" s="5" t="s">
        <v>913</v>
      </c>
      <c r="N472" s="5" t="s">
        <v>823</v>
      </c>
      <c r="O472" s="5" t="s">
        <v>8</v>
      </c>
      <c r="P472" s="5" t="s">
        <v>9</v>
      </c>
      <c r="XFD472"/>
    </row>
    <row r="473" spans="1:16 16384:16384" s="5" customFormat="1">
      <c r="A473" s="5" t="str">
        <f t="shared" si="14"/>
        <v>HL</v>
      </c>
      <c r="B473" s="5" t="str">
        <f t="shared" si="15"/>
        <v>HL282144</v>
      </c>
      <c r="C473" s="5" t="str">
        <f>IF(ISNA(VLOOKUP(A473&amp;D473,VCEPReports,4,FALSE)),"",VLOOKUP(A473&amp;D473,VCEPReports,4,FALSE))</f>
        <v/>
      </c>
      <c r="D473" s="5">
        <v>282144</v>
      </c>
      <c r="E473" s="5" t="s">
        <v>212</v>
      </c>
      <c r="F473" s="6">
        <v>43371</v>
      </c>
      <c r="G473" s="5" t="s">
        <v>824</v>
      </c>
      <c r="H473" s="5" t="s">
        <v>67</v>
      </c>
      <c r="I473" s="5" t="s">
        <v>68</v>
      </c>
      <c r="J473" s="5" t="s">
        <v>0</v>
      </c>
      <c r="K473" s="5" t="s">
        <v>1</v>
      </c>
      <c r="L473" s="5" t="s">
        <v>2</v>
      </c>
      <c r="M473" s="5" t="s">
        <v>914</v>
      </c>
      <c r="N473" s="5" t="s">
        <v>825</v>
      </c>
      <c r="O473" s="5" t="s">
        <v>70</v>
      </c>
      <c r="P473" s="5" t="s">
        <v>9</v>
      </c>
      <c r="XFD473"/>
    </row>
    <row r="474" spans="1:16 16384:16384" s="5" customFormat="1">
      <c r="A474" s="5" t="str">
        <f t="shared" si="14"/>
        <v>RAS</v>
      </c>
      <c r="B474" s="5" t="str">
        <f t="shared" si="15"/>
        <v>RAS285438</v>
      </c>
      <c r="C474" s="5" t="str">
        <f>IF(ISNA(VLOOKUP(A474&amp;D474,VCEPReports,4,FALSE)),"",VLOOKUP(A474&amp;D474,VCEPReports,4,FALSE))</f>
        <v/>
      </c>
      <c r="D474" s="5">
        <v>285438</v>
      </c>
      <c r="E474" s="5" t="s">
        <v>65</v>
      </c>
      <c r="F474" s="6">
        <v>42843</v>
      </c>
      <c r="G474" s="5" t="s">
        <v>219</v>
      </c>
      <c r="H474" s="5" t="s">
        <v>109</v>
      </c>
      <c r="I474" s="5" t="s">
        <v>110</v>
      </c>
      <c r="J474" s="5" t="s">
        <v>0</v>
      </c>
      <c r="K474" s="5" t="s">
        <v>1</v>
      </c>
      <c r="L474" s="5" t="s">
        <v>2</v>
      </c>
      <c r="M474" s="5" t="s">
        <v>915</v>
      </c>
      <c r="N474" s="5" t="s">
        <v>826</v>
      </c>
      <c r="O474" s="5" t="s">
        <v>158</v>
      </c>
      <c r="P474" s="5" t="s">
        <v>9</v>
      </c>
      <c r="XFD474"/>
    </row>
    <row r="475" spans="1:16 16384:16384" s="5" customFormat="1">
      <c r="A475" s="5" t="str">
        <f t="shared" si="14"/>
        <v>PAH</v>
      </c>
      <c r="B475" s="5" t="str">
        <f t="shared" si="15"/>
        <v>PAH306914</v>
      </c>
      <c r="C475" s="5" t="str">
        <f>IF(ISNA(VLOOKUP(A475&amp;D475,VCEPReports,4,FALSE)),"",VLOOKUP(A475&amp;D475,VCEPReports,4,FALSE))</f>
        <v/>
      </c>
      <c r="D475" s="5">
        <v>306914</v>
      </c>
      <c r="E475" s="5" t="s">
        <v>86</v>
      </c>
      <c r="F475" s="6">
        <v>43322</v>
      </c>
      <c r="G475" s="5" t="s">
        <v>827</v>
      </c>
      <c r="H475" s="5" t="s">
        <v>5</v>
      </c>
      <c r="I475" s="5" t="s">
        <v>6</v>
      </c>
      <c r="J475" s="5" t="s">
        <v>0</v>
      </c>
      <c r="K475" s="5" t="s">
        <v>1</v>
      </c>
      <c r="L475" s="5" t="s">
        <v>2</v>
      </c>
      <c r="M475" s="5" t="s">
        <v>913</v>
      </c>
      <c r="N475" s="5" t="s">
        <v>828</v>
      </c>
      <c r="O475" s="5" t="s">
        <v>8</v>
      </c>
      <c r="P475" s="5" t="s">
        <v>9</v>
      </c>
      <c r="XFD475"/>
    </row>
    <row r="476" spans="1:16 16384:16384" s="5" customFormat="1">
      <c r="A476" s="5" t="str">
        <f t="shared" si="14"/>
        <v>RAS</v>
      </c>
      <c r="B476" s="5" t="str">
        <f t="shared" si="15"/>
        <v>RAS307226</v>
      </c>
      <c r="C476" s="5" t="str">
        <f>IF(ISNA(VLOOKUP(A476&amp;D476,VCEPReports,4,FALSE)),"",VLOOKUP(A476&amp;D476,VCEPReports,4,FALSE))</f>
        <v/>
      </c>
      <c r="D476" s="5">
        <v>307226</v>
      </c>
      <c r="E476" s="5" t="s">
        <v>65</v>
      </c>
      <c r="F476" s="6">
        <v>42843</v>
      </c>
      <c r="G476" s="5" t="s">
        <v>219</v>
      </c>
      <c r="H476" s="5" t="s">
        <v>109</v>
      </c>
      <c r="I476" s="5" t="s">
        <v>110</v>
      </c>
      <c r="J476" s="5" t="s">
        <v>0</v>
      </c>
      <c r="K476" s="5" t="s">
        <v>1</v>
      </c>
      <c r="L476" s="5" t="s">
        <v>2</v>
      </c>
      <c r="M476" s="5" t="s">
        <v>915</v>
      </c>
      <c r="N476" s="5" t="s">
        <v>829</v>
      </c>
      <c r="O476" s="5" t="s">
        <v>143</v>
      </c>
      <c r="P476" s="5" t="s">
        <v>9</v>
      </c>
      <c r="XFD476"/>
    </row>
    <row r="477" spans="1:16 16384:16384" s="5" customFormat="1">
      <c r="A477" s="5" t="str">
        <f t="shared" si="14"/>
        <v>RAS</v>
      </c>
      <c r="B477" s="5" t="str">
        <f t="shared" si="15"/>
        <v>RAS343103</v>
      </c>
      <c r="C477" s="5" t="str">
        <f>IF(ISNA(VLOOKUP(A477&amp;D477,VCEPReports,4,FALSE)),"",VLOOKUP(A477&amp;D477,VCEPReports,4,FALSE))</f>
        <v/>
      </c>
      <c r="D477" s="5">
        <v>343103</v>
      </c>
      <c r="E477" s="5" t="s">
        <v>212</v>
      </c>
      <c r="F477" s="6">
        <v>42843</v>
      </c>
      <c r="G477" s="5" t="s">
        <v>260</v>
      </c>
      <c r="H477" s="5" t="s">
        <v>109</v>
      </c>
      <c r="I477" s="5" t="s">
        <v>110</v>
      </c>
      <c r="J477" s="5" t="s">
        <v>0</v>
      </c>
      <c r="K477" s="5" t="s">
        <v>1</v>
      </c>
      <c r="L477" s="5" t="s">
        <v>2</v>
      </c>
      <c r="M477" s="5" t="s">
        <v>915</v>
      </c>
      <c r="N477" s="5" t="s">
        <v>830</v>
      </c>
      <c r="O477" s="5" t="s">
        <v>158</v>
      </c>
      <c r="P477" s="5" t="s">
        <v>9</v>
      </c>
      <c r="XFD477"/>
    </row>
    <row r="478" spans="1:16 16384:16384" s="5" customFormat="1">
      <c r="A478" s="5" t="str">
        <f t="shared" si="14"/>
        <v>HL</v>
      </c>
      <c r="B478" s="5" t="str">
        <f t="shared" si="15"/>
        <v>HL375406</v>
      </c>
      <c r="C478" s="5" t="str">
        <f>IF(ISNA(VLOOKUP(A478&amp;D478,VCEPReports,4,FALSE)),"",VLOOKUP(A478&amp;D478,VCEPReports,4,FALSE))</f>
        <v/>
      </c>
      <c r="D478" s="5">
        <v>375406</v>
      </c>
      <c r="E478" s="5" t="s">
        <v>86</v>
      </c>
      <c r="F478" s="6">
        <v>43371</v>
      </c>
      <c r="G478" s="5" t="s">
        <v>831</v>
      </c>
      <c r="H478" s="5" t="s">
        <v>79</v>
      </c>
      <c r="I478" s="5" t="s">
        <v>80</v>
      </c>
      <c r="J478" s="5" t="s">
        <v>0</v>
      </c>
      <c r="K478" s="5" t="s">
        <v>1</v>
      </c>
      <c r="L478" s="5" t="s">
        <v>2</v>
      </c>
      <c r="M478" s="5" t="s">
        <v>914</v>
      </c>
      <c r="N478" s="5" t="s">
        <v>832</v>
      </c>
      <c r="O478" s="5" t="s">
        <v>203</v>
      </c>
      <c r="P478" s="5" t="s">
        <v>9</v>
      </c>
      <c r="XFD478"/>
    </row>
    <row r="479" spans="1:16 16384:16384" s="5" customFormat="1">
      <c r="A479" s="5" t="str">
        <f t="shared" si="14"/>
        <v>PAH</v>
      </c>
      <c r="B479" s="5" t="str">
        <f t="shared" si="15"/>
        <v>PAH376937</v>
      </c>
      <c r="C479" s="5" t="str">
        <f>IF(ISNA(VLOOKUP(A479&amp;D479,VCEPReports,4,FALSE)),"",VLOOKUP(A479&amp;D479,VCEPReports,4,FALSE))</f>
        <v/>
      </c>
      <c r="D479" s="5">
        <v>376937</v>
      </c>
      <c r="E479" s="5" t="s">
        <v>86</v>
      </c>
      <c r="F479" s="6">
        <v>43319</v>
      </c>
      <c r="G479" s="5" t="s">
        <v>833</v>
      </c>
      <c r="H479" s="5" t="s">
        <v>5</v>
      </c>
      <c r="I479" s="5" t="s">
        <v>6</v>
      </c>
      <c r="J479" s="5" t="s">
        <v>0</v>
      </c>
      <c r="K479" s="5" t="s">
        <v>1</v>
      </c>
      <c r="L479" s="5" t="s">
        <v>2</v>
      </c>
      <c r="M479" s="5" t="s">
        <v>913</v>
      </c>
      <c r="N479" s="5" t="s">
        <v>834</v>
      </c>
      <c r="O479" s="5" t="s">
        <v>8</v>
      </c>
      <c r="P479" s="5" t="s">
        <v>9</v>
      </c>
      <c r="XFD479"/>
    </row>
    <row r="480" spans="1:16 16384:16384" s="5" customFormat="1">
      <c r="A480" s="5" t="str">
        <f t="shared" si="14"/>
        <v>RAS</v>
      </c>
      <c r="B480" s="5" t="str">
        <f t="shared" si="15"/>
        <v>RAS378108</v>
      </c>
      <c r="C480" s="5" t="str">
        <f>IF(ISNA(VLOOKUP(A480&amp;D480,VCEPReports,4,FALSE)),"",VLOOKUP(A480&amp;D480,VCEPReports,4,FALSE))</f>
        <v/>
      </c>
      <c r="D480" s="5">
        <v>378108</v>
      </c>
      <c r="E480" s="5" t="s">
        <v>212</v>
      </c>
      <c r="F480" s="6">
        <v>42864</v>
      </c>
      <c r="G480" s="5" t="s">
        <v>364</v>
      </c>
      <c r="H480" s="5" t="s">
        <v>109</v>
      </c>
      <c r="I480" s="5" t="s">
        <v>110</v>
      </c>
      <c r="J480" s="5" t="s">
        <v>0</v>
      </c>
      <c r="K480" s="5" t="s">
        <v>1</v>
      </c>
      <c r="L480" s="5" t="s">
        <v>2</v>
      </c>
      <c r="M480" s="5" t="s">
        <v>915</v>
      </c>
      <c r="N480" s="5" t="s">
        <v>835</v>
      </c>
      <c r="O480" s="5" t="s">
        <v>105</v>
      </c>
      <c r="P480" s="5" t="s">
        <v>9</v>
      </c>
      <c r="XFD480"/>
    </row>
    <row r="481" spans="1:16 16384:16384" s="5" customFormat="1">
      <c r="A481" s="5" t="str">
        <f t="shared" si="14"/>
        <v>RAS</v>
      </c>
      <c r="B481" s="5" t="str">
        <f t="shared" si="15"/>
        <v>RAS378913</v>
      </c>
      <c r="C481" s="5" t="str">
        <f>IF(ISNA(VLOOKUP(A481&amp;D481,VCEPReports,4,FALSE)),"",VLOOKUP(A481&amp;D481,VCEPReports,4,FALSE))</f>
        <v/>
      </c>
      <c r="D481" s="5">
        <v>378913</v>
      </c>
      <c r="E481" s="5" t="s">
        <v>212</v>
      </c>
      <c r="F481" s="6">
        <v>42864</v>
      </c>
      <c r="G481" s="5" t="s">
        <v>364</v>
      </c>
      <c r="H481" s="5" t="s">
        <v>109</v>
      </c>
      <c r="I481" s="5" t="s">
        <v>110</v>
      </c>
      <c r="J481" s="5" t="s">
        <v>0</v>
      </c>
      <c r="K481" s="5" t="s">
        <v>1</v>
      </c>
      <c r="L481" s="5" t="s">
        <v>2</v>
      </c>
      <c r="M481" s="5" t="s">
        <v>915</v>
      </c>
      <c r="N481" s="5" t="s">
        <v>836</v>
      </c>
      <c r="O481" s="5" t="s">
        <v>105</v>
      </c>
      <c r="P481" s="5" t="s">
        <v>9</v>
      </c>
      <c r="XFD481"/>
    </row>
    <row r="482" spans="1:16 16384:16384" s="5" customFormat="1">
      <c r="A482" s="5" t="str">
        <f t="shared" si="14"/>
        <v>RAS</v>
      </c>
      <c r="B482" s="5" t="str">
        <f t="shared" si="15"/>
        <v>RAS389759</v>
      </c>
      <c r="C482" s="5" t="str">
        <f>IF(ISNA(VLOOKUP(A482&amp;D482,VCEPReports,4,FALSE)),"",VLOOKUP(A482&amp;D482,VCEPReports,4,FALSE))</f>
        <v/>
      </c>
      <c r="D482" s="5">
        <v>389759</v>
      </c>
      <c r="E482" s="5" t="s">
        <v>65</v>
      </c>
      <c r="F482" s="6">
        <v>42864</v>
      </c>
      <c r="G482" s="5" t="s">
        <v>343</v>
      </c>
      <c r="H482" s="5" t="s">
        <v>109</v>
      </c>
      <c r="I482" s="5" t="s">
        <v>110</v>
      </c>
      <c r="J482" s="5" t="s">
        <v>0</v>
      </c>
      <c r="K482" s="5" t="s">
        <v>1</v>
      </c>
      <c r="L482" s="5" t="s">
        <v>2</v>
      </c>
      <c r="M482" s="5" t="s">
        <v>915</v>
      </c>
      <c r="N482" s="5" t="s">
        <v>837</v>
      </c>
      <c r="O482" s="5" t="s">
        <v>153</v>
      </c>
      <c r="P482" s="5" t="s">
        <v>9</v>
      </c>
      <c r="XFD482"/>
    </row>
    <row r="483" spans="1:16 16384:16384" s="5" customFormat="1">
      <c r="A483" s="5" t="str">
        <f t="shared" si="14"/>
        <v>PTEN</v>
      </c>
      <c r="B483" s="5" t="str">
        <f t="shared" si="15"/>
        <v>PTEN404140</v>
      </c>
      <c r="C483" s="5" t="str">
        <f>IF(ISNA(VLOOKUP(A483&amp;D483,VCEPReports,4,FALSE)),"",VLOOKUP(A483&amp;D483,VCEPReports,4,FALSE))</f>
        <v>d8470abc-cd84-4dd7-aa9d-def2c9c878aa</v>
      </c>
      <c r="D483" s="5">
        <v>404140</v>
      </c>
      <c r="E483" s="5" t="s">
        <v>24</v>
      </c>
      <c r="F483" s="6">
        <v>43026</v>
      </c>
      <c r="G483" s="5" t="s">
        <v>838</v>
      </c>
      <c r="H483" s="5" t="s">
        <v>95</v>
      </c>
      <c r="I483" s="5" t="s">
        <v>96</v>
      </c>
      <c r="J483" s="5" t="s">
        <v>0</v>
      </c>
      <c r="K483" s="5" t="s">
        <v>1</v>
      </c>
      <c r="L483" s="5" t="s">
        <v>2</v>
      </c>
      <c r="M483" s="5" t="s">
        <v>917</v>
      </c>
      <c r="N483" s="5" t="s">
        <v>839</v>
      </c>
      <c r="O483" s="5" t="s">
        <v>98</v>
      </c>
      <c r="P483" s="5" t="s">
        <v>9</v>
      </c>
      <c r="XFD483"/>
    </row>
    <row r="484" spans="1:16 16384:16384" s="5" customFormat="1">
      <c r="A484" s="5" t="str">
        <f t="shared" si="14"/>
        <v>PTEN</v>
      </c>
      <c r="B484" s="5" t="str">
        <f t="shared" si="15"/>
        <v>PTEN404147</v>
      </c>
      <c r="C484" s="5" t="str">
        <f>IF(ISNA(VLOOKUP(A484&amp;D484,VCEPReports,4,FALSE)),"",VLOOKUP(A484&amp;D484,VCEPReports,4,FALSE))</f>
        <v>9b8faad8-e78a-4d2f-8805-210367466752</v>
      </c>
      <c r="D484" s="5">
        <v>404147</v>
      </c>
      <c r="E484" s="5" t="s">
        <v>86</v>
      </c>
      <c r="F484" s="6">
        <v>43103</v>
      </c>
      <c r="G484" s="5" t="s">
        <v>840</v>
      </c>
      <c r="H484" s="5" t="s">
        <v>95</v>
      </c>
      <c r="I484" s="5" t="s">
        <v>96</v>
      </c>
      <c r="J484" s="5" t="s">
        <v>0</v>
      </c>
      <c r="K484" s="5" t="s">
        <v>1</v>
      </c>
      <c r="L484" s="5" t="s">
        <v>2</v>
      </c>
      <c r="M484" s="5" t="s">
        <v>917</v>
      </c>
      <c r="N484" s="5" t="s">
        <v>841</v>
      </c>
      <c r="O484" s="5" t="s">
        <v>98</v>
      </c>
      <c r="P484" s="5" t="s">
        <v>9</v>
      </c>
      <c r="XFD484"/>
    </row>
    <row r="485" spans="1:16 16384:16384" s="5" customFormat="1">
      <c r="A485" s="5" t="str">
        <f t="shared" si="14"/>
        <v>RAS</v>
      </c>
      <c r="B485" s="5" t="str">
        <f t="shared" si="15"/>
        <v>RAS417225</v>
      </c>
      <c r="C485" s="5" t="str">
        <f>IF(ISNA(VLOOKUP(A485&amp;D485,VCEPReports,4,FALSE)),"",VLOOKUP(A485&amp;D485,VCEPReports,4,FALSE))</f>
        <v/>
      </c>
      <c r="D485" s="5">
        <v>417225</v>
      </c>
      <c r="E485" s="5" t="s">
        <v>65</v>
      </c>
      <c r="F485" s="6">
        <v>42843</v>
      </c>
      <c r="G485" s="5" t="s">
        <v>219</v>
      </c>
      <c r="H485" s="5" t="s">
        <v>109</v>
      </c>
      <c r="I485" s="5" t="s">
        <v>110</v>
      </c>
      <c r="J485" s="5" t="s">
        <v>0</v>
      </c>
      <c r="K485" s="5" t="s">
        <v>1</v>
      </c>
      <c r="L485" s="5" t="s">
        <v>2</v>
      </c>
      <c r="M485" s="5" t="s">
        <v>915</v>
      </c>
      <c r="N485" s="5" t="s">
        <v>842</v>
      </c>
      <c r="O485" s="5" t="s">
        <v>165</v>
      </c>
      <c r="P485" s="5" t="s">
        <v>9</v>
      </c>
      <c r="XFD485"/>
    </row>
    <row r="486" spans="1:16 16384:16384" s="5" customFormat="1">
      <c r="A486" s="5" t="str">
        <f t="shared" si="14"/>
        <v>RAS</v>
      </c>
      <c r="B486" s="5" t="str">
        <f t="shared" si="15"/>
        <v>RAS436446</v>
      </c>
      <c r="C486" s="5" t="str">
        <f>IF(ISNA(VLOOKUP(A486&amp;D486,VCEPReports,4,FALSE)),"",VLOOKUP(A486&amp;D486,VCEPReports,4,FALSE))</f>
        <v/>
      </c>
      <c r="D486" s="5">
        <v>436446</v>
      </c>
      <c r="E486" s="5" t="s">
        <v>65</v>
      </c>
      <c r="F486" s="6">
        <v>42843</v>
      </c>
      <c r="G486" s="5" t="s">
        <v>219</v>
      </c>
      <c r="H486" s="5" t="s">
        <v>109</v>
      </c>
      <c r="I486" s="5" t="s">
        <v>110</v>
      </c>
      <c r="J486" s="5" t="s">
        <v>0</v>
      </c>
      <c r="K486" s="5" t="s">
        <v>1</v>
      </c>
      <c r="L486" s="5" t="s">
        <v>2</v>
      </c>
      <c r="M486" s="5" t="s">
        <v>915</v>
      </c>
      <c r="N486" s="5" t="s">
        <v>843</v>
      </c>
      <c r="O486" s="5" t="s">
        <v>143</v>
      </c>
      <c r="P486" s="5" t="s">
        <v>9</v>
      </c>
      <c r="XFD486"/>
    </row>
    <row r="487" spans="1:16 16384:16384" s="5" customFormat="1">
      <c r="A487" s="5" t="str">
        <f t="shared" si="14"/>
        <v>PAH</v>
      </c>
      <c r="B487" s="5" t="str">
        <f t="shared" si="15"/>
        <v>PAH439228</v>
      </c>
      <c r="C487" s="5" t="str">
        <f>IF(ISNA(VLOOKUP(A487&amp;D487,VCEPReports,4,FALSE)),"",VLOOKUP(A487&amp;D487,VCEPReports,4,FALSE))</f>
        <v/>
      </c>
      <c r="D487" s="5">
        <v>439228</v>
      </c>
      <c r="E487" s="5" t="s">
        <v>24</v>
      </c>
      <c r="F487" s="6">
        <v>43324</v>
      </c>
      <c r="G487" s="5" t="s">
        <v>844</v>
      </c>
      <c r="H487" s="5" t="s">
        <v>5</v>
      </c>
      <c r="I487" s="5" t="s">
        <v>6</v>
      </c>
      <c r="J487" s="5" t="s">
        <v>0</v>
      </c>
      <c r="K487" s="5" t="s">
        <v>1</v>
      </c>
      <c r="L487" s="5" t="s">
        <v>2</v>
      </c>
      <c r="M487" s="5" t="s">
        <v>913</v>
      </c>
      <c r="N487" s="5" t="s">
        <v>845</v>
      </c>
      <c r="O487" s="5" t="s">
        <v>8</v>
      </c>
      <c r="P487" s="5" t="s">
        <v>9</v>
      </c>
      <c r="XFD487"/>
    </row>
    <row r="488" spans="1:16 16384:16384" s="5" customFormat="1">
      <c r="A488" s="5" t="str">
        <f t="shared" si="14"/>
        <v>HL</v>
      </c>
      <c r="B488" s="5" t="str">
        <f t="shared" si="15"/>
        <v>HL447450</v>
      </c>
      <c r="C488" s="5" t="str">
        <f>IF(ISNA(VLOOKUP(A488&amp;D488,VCEPReports,4,FALSE)),"",VLOOKUP(A488&amp;D488,VCEPReports,4,FALSE))</f>
        <v/>
      </c>
      <c r="D488" s="5">
        <v>447450</v>
      </c>
      <c r="E488" s="5" t="s">
        <v>86</v>
      </c>
      <c r="F488" s="6">
        <v>43357</v>
      </c>
      <c r="G488" s="5" t="s">
        <v>846</v>
      </c>
      <c r="H488" s="5" t="s">
        <v>79</v>
      </c>
      <c r="I488" s="5" t="s">
        <v>80</v>
      </c>
      <c r="J488" s="5" t="s">
        <v>0</v>
      </c>
      <c r="K488" s="5" t="s">
        <v>1</v>
      </c>
      <c r="L488" s="5" t="s">
        <v>2</v>
      </c>
      <c r="M488" s="5" t="s">
        <v>914</v>
      </c>
      <c r="N488" s="5" t="s">
        <v>847</v>
      </c>
      <c r="O488" s="5" t="s">
        <v>203</v>
      </c>
      <c r="P488" s="5" t="s">
        <v>9</v>
      </c>
      <c r="XFD488"/>
    </row>
    <row r="489" spans="1:16 16384:16384" s="5" customFormat="1">
      <c r="A489" s="5" t="str">
        <f t="shared" si="14"/>
        <v>RAS</v>
      </c>
      <c r="B489" s="5" t="str">
        <f t="shared" si="15"/>
        <v>RAS448922</v>
      </c>
      <c r="C489" s="5" t="str">
        <f>IF(ISNA(VLOOKUP(A489&amp;D489,VCEPReports,4,FALSE)),"",VLOOKUP(A489&amp;D489,VCEPReports,4,FALSE))</f>
        <v/>
      </c>
      <c r="D489" s="5">
        <v>448922</v>
      </c>
      <c r="E489" s="5" t="s">
        <v>212</v>
      </c>
      <c r="F489" s="6">
        <v>42843</v>
      </c>
      <c r="G489" s="5" t="s">
        <v>260</v>
      </c>
      <c r="H489" s="5" t="s">
        <v>109</v>
      </c>
      <c r="I489" s="5" t="s">
        <v>110</v>
      </c>
      <c r="J489" s="5" t="s">
        <v>0</v>
      </c>
      <c r="K489" s="5" t="s">
        <v>1</v>
      </c>
      <c r="L489" s="5" t="s">
        <v>2</v>
      </c>
      <c r="M489" s="5" t="s">
        <v>915</v>
      </c>
      <c r="N489" s="5" t="s">
        <v>848</v>
      </c>
      <c r="O489" s="5" t="s">
        <v>143</v>
      </c>
      <c r="P489" s="5" t="s">
        <v>9</v>
      </c>
      <c r="XFD489"/>
    </row>
    <row r="490" spans="1:16 16384:16384" s="5" customFormat="1">
      <c r="A490" s="5" t="str">
        <f t="shared" si="14"/>
        <v>RAS</v>
      </c>
      <c r="B490" s="5" t="str">
        <f t="shared" si="15"/>
        <v>RAS448923</v>
      </c>
      <c r="C490" s="5" t="str">
        <f>IF(ISNA(VLOOKUP(A490&amp;D490,VCEPReports,4,FALSE)),"",VLOOKUP(A490&amp;D490,VCEPReports,4,FALSE))</f>
        <v/>
      </c>
      <c r="D490" s="5">
        <v>448923</v>
      </c>
      <c r="E490" s="5" t="s">
        <v>65</v>
      </c>
      <c r="F490" s="6">
        <v>42843</v>
      </c>
      <c r="G490" s="5" t="s">
        <v>219</v>
      </c>
      <c r="H490" s="5" t="s">
        <v>109</v>
      </c>
      <c r="I490" s="5" t="s">
        <v>110</v>
      </c>
      <c r="J490" s="5" t="s">
        <v>0</v>
      </c>
      <c r="K490" s="5" t="s">
        <v>1</v>
      </c>
      <c r="L490" s="5" t="s">
        <v>2</v>
      </c>
      <c r="M490" s="5" t="s">
        <v>915</v>
      </c>
      <c r="N490" s="5" t="s">
        <v>849</v>
      </c>
      <c r="O490" s="5" t="s">
        <v>165</v>
      </c>
      <c r="P490" s="5" t="s">
        <v>9</v>
      </c>
      <c r="XFD490"/>
    </row>
    <row r="491" spans="1:16 16384:16384" s="5" customFormat="1">
      <c r="A491" s="5" t="str">
        <f t="shared" si="14"/>
        <v>RAS</v>
      </c>
      <c r="B491" s="5" t="str">
        <f t="shared" si="15"/>
        <v>RAS448924</v>
      </c>
      <c r="C491" s="5" t="str">
        <f>IF(ISNA(VLOOKUP(A491&amp;D491,VCEPReports,4,FALSE)),"",VLOOKUP(A491&amp;D491,VCEPReports,4,FALSE))</f>
        <v/>
      </c>
      <c r="D491" s="5">
        <v>448924</v>
      </c>
      <c r="E491" s="5" t="s">
        <v>65</v>
      </c>
      <c r="F491" s="6">
        <v>42843</v>
      </c>
      <c r="G491" s="5" t="s">
        <v>219</v>
      </c>
      <c r="H491" s="5" t="s">
        <v>109</v>
      </c>
      <c r="I491" s="5" t="s">
        <v>110</v>
      </c>
      <c r="J491" s="5" t="s">
        <v>0</v>
      </c>
      <c r="K491" s="5" t="s">
        <v>1</v>
      </c>
      <c r="L491" s="5" t="s">
        <v>2</v>
      </c>
      <c r="M491" s="5" t="s">
        <v>915</v>
      </c>
      <c r="N491" s="5" t="s">
        <v>850</v>
      </c>
      <c r="O491" s="5" t="s">
        <v>165</v>
      </c>
      <c r="P491" s="5" t="s">
        <v>9</v>
      </c>
      <c r="XFD491"/>
    </row>
    <row r="492" spans="1:16 16384:16384" s="5" customFormat="1">
      <c r="A492" s="5" t="str">
        <f t="shared" si="14"/>
        <v>RAS</v>
      </c>
      <c r="B492" s="5" t="str">
        <f t="shared" si="15"/>
        <v>RAS448925</v>
      </c>
      <c r="C492" s="5" t="str">
        <f>IF(ISNA(VLOOKUP(A492&amp;D492,VCEPReports,4,FALSE)),"",VLOOKUP(A492&amp;D492,VCEPReports,4,FALSE))</f>
        <v/>
      </c>
      <c r="D492" s="5">
        <v>448925</v>
      </c>
      <c r="E492" s="5" t="s">
        <v>65</v>
      </c>
      <c r="F492" s="6">
        <v>42843</v>
      </c>
      <c r="G492" s="5" t="s">
        <v>219</v>
      </c>
      <c r="H492" s="5" t="s">
        <v>109</v>
      </c>
      <c r="I492" s="5" t="s">
        <v>110</v>
      </c>
      <c r="J492" s="5" t="s">
        <v>0</v>
      </c>
      <c r="K492" s="5" t="s">
        <v>1</v>
      </c>
      <c r="L492" s="5" t="s">
        <v>2</v>
      </c>
      <c r="M492" s="5" t="s">
        <v>915</v>
      </c>
      <c r="N492" s="5" t="s">
        <v>851</v>
      </c>
      <c r="O492" s="5" t="s">
        <v>165</v>
      </c>
      <c r="P492" s="5" t="s">
        <v>9</v>
      </c>
      <c r="XFD492"/>
    </row>
    <row r="493" spans="1:16 16384:16384" s="5" customFormat="1">
      <c r="A493" s="5" t="str">
        <f t="shared" si="14"/>
        <v>RAS</v>
      </c>
      <c r="B493" s="5" t="str">
        <f t="shared" si="15"/>
        <v>RAS448926</v>
      </c>
      <c r="C493" s="5" t="str">
        <f>IF(ISNA(VLOOKUP(A493&amp;D493,VCEPReports,4,FALSE)),"",VLOOKUP(A493&amp;D493,VCEPReports,4,FALSE))</f>
        <v/>
      </c>
      <c r="D493" s="5">
        <v>448926</v>
      </c>
      <c r="E493" s="5" t="s">
        <v>65</v>
      </c>
      <c r="F493" s="6">
        <v>42843</v>
      </c>
      <c r="G493" s="5" t="s">
        <v>219</v>
      </c>
      <c r="H493" s="5" t="s">
        <v>109</v>
      </c>
      <c r="I493" s="5" t="s">
        <v>110</v>
      </c>
      <c r="J493" s="5" t="s">
        <v>0</v>
      </c>
      <c r="K493" s="5" t="s">
        <v>1</v>
      </c>
      <c r="L493" s="5" t="s">
        <v>2</v>
      </c>
      <c r="M493" s="5" t="s">
        <v>915</v>
      </c>
      <c r="N493" s="5" t="s">
        <v>852</v>
      </c>
      <c r="O493" s="5" t="s">
        <v>131</v>
      </c>
      <c r="P493" s="5" t="s">
        <v>9</v>
      </c>
      <c r="XFD493"/>
    </row>
    <row r="494" spans="1:16 16384:16384" s="5" customFormat="1">
      <c r="A494" s="5" t="str">
        <f t="shared" si="14"/>
        <v>RAS</v>
      </c>
      <c r="B494" s="5" t="str">
        <f t="shared" si="15"/>
        <v>RAS448927</v>
      </c>
      <c r="C494" s="5" t="str">
        <f>IF(ISNA(VLOOKUP(A494&amp;D494,VCEPReports,4,FALSE)),"",VLOOKUP(A494&amp;D494,VCEPReports,4,FALSE))</f>
        <v/>
      </c>
      <c r="D494" s="5">
        <v>448927</v>
      </c>
      <c r="E494" s="5" t="s">
        <v>65</v>
      </c>
      <c r="F494" s="6">
        <v>42843</v>
      </c>
      <c r="G494" s="5" t="s">
        <v>219</v>
      </c>
      <c r="H494" s="5" t="s">
        <v>109</v>
      </c>
      <c r="I494" s="5" t="s">
        <v>110</v>
      </c>
      <c r="J494" s="5" t="s">
        <v>0</v>
      </c>
      <c r="K494" s="5" t="s">
        <v>1</v>
      </c>
      <c r="L494" s="5" t="s">
        <v>2</v>
      </c>
      <c r="M494" s="5" t="s">
        <v>915</v>
      </c>
      <c r="N494" s="5" t="s">
        <v>853</v>
      </c>
      <c r="O494" s="5" t="s">
        <v>158</v>
      </c>
      <c r="P494" s="5" t="s">
        <v>9</v>
      </c>
      <c r="XFD494"/>
    </row>
    <row r="495" spans="1:16 16384:16384" s="5" customFormat="1">
      <c r="A495" s="5" t="str">
        <f t="shared" si="14"/>
        <v>RAS</v>
      </c>
      <c r="B495" s="5" t="str">
        <f t="shared" si="15"/>
        <v>RAS448928</v>
      </c>
      <c r="C495" s="5" t="str">
        <f>IF(ISNA(VLOOKUP(A495&amp;D495,VCEPReports,4,FALSE)),"",VLOOKUP(A495&amp;D495,VCEPReports,4,FALSE))</f>
        <v/>
      </c>
      <c r="D495" s="5">
        <v>448928</v>
      </c>
      <c r="E495" s="5" t="s">
        <v>212</v>
      </c>
      <c r="F495" s="6">
        <v>42843</v>
      </c>
      <c r="G495" s="5" t="s">
        <v>260</v>
      </c>
      <c r="H495" s="5" t="s">
        <v>109</v>
      </c>
      <c r="I495" s="5" t="s">
        <v>110</v>
      </c>
      <c r="J495" s="5" t="s">
        <v>0</v>
      </c>
      <c r="K495" s="5" t="s">
        <v>1</v>
      </c>
      <c r="L495" s="5" t="s">
        <v>2</v>
      </c>
      <c r="M495" s="5" t="s">
        <v>915</v>
      </c>
      <c r="N495" s="5" t="s">
        <v>854</v>
      </c>
      <c r="O495" s="5" t="s">
        <v>158</v>
      </c>
      <c r="P495" s="5" t="s">
        <v>9</v>
      </c>
      <c r="XFD495"/>
    </row>
    <row r="496" spans="1:16 16384:16384" s="5" customFormat="1">
      <c r="A496" s="5" t="str">
        <f t="shared" si="14"/>
        <v>RAS</v>
      </c>
      <c r="B496" s="5" t="str">
        <f t="shared" si="15"/>
        <v>RAS448929</v>
      </c>
      <c r="C496" s="5" t="str">
        <f>IF(ISNA(VLOOKUP(A496&amp;D496,VCEPReports,4,FALSE)),"",VLOOKUP(A496&amp;D496,VCEPReports,4,FALSE))</f>
        <v/>
      </c>
      <c r="D496" s="5">
        <v>448929</v>
      </c>
      <c r="E496" s="5" t="s">
        <v>212</v>
      </c>
      <c r="F496" s="6">
        <v>42843</v>
      </c>
      <c r="G496" s="5" t="s">
        <v>260</v>
      </c>
      <c r="H496" s="5" t="s">
        <v>109</v>
      </c>
      <c r="I496" s="5" t="s">
        <v>110</v>
      </c>
      <c r="J496" s="5" t="s">
        <v>0</v>
      </c>
      <c r="K496" s="5" t="s">
        <v>1</v>
      </c>
      <c r="L496" s="5" t="s">
        <v>2</v>
      </c>
      <c r="M496" s="5" t="s">
        <v>915</v>
      </c>
      <c r="N496" s="5" t="s">
        <v>855</v>
      </c>
      <c r="O496" s="5" t="s">
        <v>158</v>
      </c>
      <c r="P496" s="5" t="s">
        <v>9</v>
      </c>
      <c r="XFD496"/>
    </row>
    <row r="497" spans="1:16 16384:16384" s="5" customFormat="1">
      <c r="A497" s="5" t="str">
        <f t="shared" si="14"/>
        <v>RAS</v>
      </c>
      <c r="B497" s="5" t="str">
        <f t="shared" si="15"/>
        <v>RAS448930</v>
      </c>
      <c r="C497" s="5" t="str">
        <f>IF(ISNA(VLOOKUP(A497&amp;D497,VCEPReports,4,FALSE)),"",VLOOKUP(A497&amp;D497,VCEPReports,4,FALSE))</f>
        <v/>
      </c>
      <c r="D497" s="5">
        <v>448930</v>
      </c>
      <c r="E497" s="5" t="s">
        <v>212</v>
      </c>
      <c r="F497" s="6">
        <v>42843</v>
      </c>
      <c r="G497" s="5" t="s">
        <v>260</v>
      </c>
      <c r="H497" s="5" t="s">
        <v>109</v>
      </c>
      <c r="I497" s="5" t="s">
        <v>110</v>
      </c>
      <c r="J497" s="5" t="s">
        <v>0</v>
      </c>
      <c r="K497" s="5" t="s">
        <v>1</v>
      </c>
      <c r="L497" s="5" t="s">
        <v>2</v>
      </c>
      <c r="M497" s="5" t="s">
        <v>915</v>
      </c>
      <c r="N497" s="5" t="s">
        <v>856</v>
      </c>
      <c r="O497" s="5" t="s">
        <v>158</v>
      </c>
      <c r="P497" s="5" t="s">
        <v>9</v>
      </c>
      <c r="XFD497"/>
    </row>
    <row r="498" spans="1:16 16384:16384" s="5" customFormat="1">
      <c r="A498" s="5" t="str">
        <f t="shared" si="14"/>
        <v>RAS</v>
      </c>
      <c r="B498" s="5" t="str">
        <f t="shared" si="15"/>
        <v>RAS448931</v>
      </c>
      <c r="C498" s="5" t="str">
        <f>IF(ISNA(VLOOKUP(A498&amp;D498,VCEPReports,4,FALSE)),"",VLOOKUP(A498&amp;D498,VCEPReports,4,FALSE))</f>
        <v/>
      </c>
      <c r="D498" s="5">
        <v>448931</v>
      </c>
      <c r="E498" s="5" t="s">
        <v>212</v>
      </c>
      <c r="F498" s="6">
        <v>42843</v>
      </c>
      <c r="G498" s="5" t="s">
        <v>260</v>
      </c>
      <c r="H498" s="5" t="s">
        <v>109</v>
      </c>
      <c r="I498" s="5" t="s">
        <v>110</v>
      </c>
      <c r="J498" s="5" t="s">
        <v>0</v>
      </c>
      <c r="K498" s="5" t="s">
        <v>1</v>
      </c>
      <c r="L498" s="5" t="s">
        <v>2</v>
      </c>
      <c r="M498" s="5" t="s">
        <v>915</v>
      </c>
      <c r="N498" s="5" t="s">
        <v>857</v>
      </c>
      <c r="O498" s="5" t="s">
        <v>93</v>
      </c>
      <c r="P498" s="5" t="s">
        <v>9</v>
      </c>
      <c r="XFD498"/>
    </row>
    <row r="499" spans="1:16 16384:16384" s="5" customFormat="1">
      <c r="A499" s="5" t="str">
        <f t="shared" si="14"/>
        <v>RAS</v>
      </c>
      <c r="B499" s="5" t="str">
        <f t="shared" si="15"/>
        <v>RAS448932</v>
      </c>
      <c r="C499" s="5" t="str">
        <f>IF(ISNA(VLOOKUP(A499&amp;D499,VCEPReports,4,FALSE)),"",VLOOKUP(A499&amp;D499,VCEPReports,4,FALSE))</f>
        <v/>
      </c>
      <c r="D499" s="5">
        <v>448932</v>
      </c>
      <c r="E499" s="5" t="s">
        <v>212</v>
      </c>
      <c r="F499" s="6">
        <v>42843</v>
      </c>
      <c r="G499" s="5" t="s">
        <v>260</v>
      </c>
      <c r="H499" s="5" t="s">
        <v>109</v>
      </c>
      <c r="I499" s="5" t="s">
        <v>110</v>
      </c>
      <c r="J499" s="5" t="s">
        <v>0</v>
      </c>
      <c r="K499" s="5" t="s">
        <v>1</v>
      </c>
      <c r="L499" s="5" t="s">
        <v>2</v>
      </c>
      <c r="M499" s="5" t="s">
        <v>915</v>
      </c>
      <c r="N499" s="5" t="s">
        <v>858</v>
      </c>
      <c r="O499" s="5" t="s">
        <v>93</v>
      </c>
      <c r="P499" s="5" t="s">
        <v>9</v>
      </c>
      <c r="XFD499"/>
    </row>
    <row r="500" spans="1:16 16384:16384" s="5" customFormat="1">
      <c r="A500" s="5" t="str">
        <f t="shared" si="14"/>
        <v>RAS</v>
      </c>
      <c r="B500" s="5" t="str">
        <f t="shared" si="15"/>
        <v>RAS448933</v>
      </c>
      <c r="C500" s="5" t="str">
        <f>IF(ISNA(VLOOKUP(A500&amp;D500,VCEPReports,4,FALSE)),"",VLOOKUP(A500&amp;D500,VCEPReports,4,FALSE))</f>
        <v/>
      </c>
      <c r="D500" s="5">
        <v>448933</v>
      </c>
      <c r="E500" s="5" t="s">
        <v>212</v>
      </c>
      <c r="F500" s="6">
        <v>42843</v>
      </c>
      <c r="G500" s="5" t="s">
        <v>260</v>
      </c>
      <c r="H500" s="5" t="s">
        <v>109</v>
      </c>
      <c r="I500" s="5" t="s">
        <v>110</v>
      </c>
      <c r="J500" s="5" t="s">
        <v>0</v>
      </c>
      <c r="K500" s="5" t="s">
        <v>1</v>
      </c>
      <c r="L500" s="5" t="s">
        <v>2</v>
      </c>
      <c r="M500" s="5" t="s">
        <v>915</v>
      </c>
      <c r="N500" s="5" t="s">
        <v>859</v>
      </c>
      <c r="O500" s="5" t="s">
        <v>93</v>
      </c>
      <c r="P500" s="5" t="s">
        <v>9</v>
      </c>
      <c r="XFD500"/>
    </row>
    <row r="501" spans="1:16 16384:16384" s="5" customFormat="1">
      <c r="A501" s="5" t="str">
        <f t="shared" si="14"/>
        <v>RAS</v>
      </c>
      <c r="B501" s="5" t="str">
        <f t="shared" si="15"/>
        <v>RAS448934</v>
      </c>
      <c r="C501" s="5" t="str">
        <f>IF(ISNA(VLOOKUP(A501&amp;D501,VCEPReports,4,FALSE)),"",VLOOKUP(A501&amp;D501,VCEPReports,4,FALSE))</f>
        <v/>
      </c>
      <c r="D501" s="5">
        <v>448934</v>
      </c>
      <c r="E501" s="5" t="s">
        <v>65</v>
      </c>
      <c r="F501" s="6">
        <v>42843</v>
      </c>
      <c r="G501" s="5" t="s">
        <v>219</v>
      </c>
      <c r="H501" s="5" t="s">
        <v>109</v>
      </c>
      <c r="I501" s="5" t="s">
        <v>110</v>
      </c>
      <c r="J501" s="5" t="s">
        <v>0</v>
      </c>
      <c r="K501" s="5" t="s">
        <v>1</v>
      </c>
      <c r="L501" s="5" t="s">
        <v>2</v>
      </c>
      <c r="M501" s="5" t="s">
        <v>915</v>
      </c>
      <c r="N501" s="5" t="s">
        <v>860</v>
      </c>
      <c r="O501" s="5" t="s">
        <v>93</v>
      </c>
      <c r="P501" s="5" t="s">
        <v>9</v>
      </c>
      <c r="XFD501"/>
    </row>
    <row r="502" spans="1:16 16384:16384" s="5" customFormat="1">
      <c r="A502" s="5" t="str">
        <f t="shared" si="14"/>
        <v>RAS</v>
      </c>
      <c r="B502" s="5" t="str">
        <f t="shared" si="15"/>
        <v>RAS448935</v>
      </c>
      <c r="C502" s="5" t="str">
        <f>IF(ISNA(VLOOKUP(A502&amp;D502,VCEPReports,4,FALSE)),"",VLOOKUP(A502&amp;D502,VCEPReports,4,FALSE))</f>
        <v/>
      </c>
      <c r="D502" s="5">
        <v>448935</v>
      </c>
      <c r="E502" s="5" t="s">
        <v>65</v>
      </c>
      <c r="F502" s="6">
        <v>42843</v>
      </c>
      <c r="G502" s="5" t="s">
        <v>219</v>
      </c>
      <c r="H502" s="5" t="s">
        <v>109</v>
      </c>
      <c r="I502" s="5" t="s">
        <v>110</v>
      </c>
      <c r="J502" s="5" t="s">
        <v>0</v>
      </c>
      <c r="K502" s="5" t="s">
        <v>1</v>
      </c>
      <c r="L502" s="5" t="s">
        <v>2</v>
      </c>
      <c r="M502" s="5" t="s">
        <v>915</v>
      </c>
      <c r="N502" s="5" t="s">
        <v>861</v>
      </c>
      <c r="O502" s="5" t="s">
        <v>93</v>
      </c>
      <c r="P502" s="5" t="s">
        <v>9</v>
      </c>
      <c r="XFD502"/>
    </row>
    <row r="503" spans="1:16 16384:16384" s="5" customFormat="1">
      <c r="A503" s="5" t="str">
        <f t="shared" si="14"/>
        <v>RAS</v>
      </c>
      <c r="B503" s="5" t="str">
        <f t="shared" si="15"/>
        <v>RAS448936</v>
      </c>
      <c r="C503" s="5" t="str">
        <f>IF(ISNA(VLOOKUP(A503&amp;D503,VCEPReports,4,FALSE)),"",VLOOKUP(A503&amp;D503,VCEPReports,4,FALSE))</f>
        <v/>
      </c>
      <c r="D503" s="5">
        <v>448936</v>
      </c>
      <c r="E503" s="5" t="s">
        <v>212</v>
      </c>
      <c r="F503" s="6">
        <v>42843</v>
      </c>
      <c r="G503" s="5" t="s">
        <v>260</v>
      </c>
      <c r="H503" s="5" t="s">
        <v>109</v>
      </c>
      <c r="I503" s="5" t="s">
        <v>110</v>
      </c>
      <c r="J503" s="5" t="s">
        <v>0</v>
      </c>
      <c r="K503" s="5" t="s">
        <v>1</v>
      </c>
      <c r="L503" s="5" t="s">
        <v>2</v>
      </c>
      <c r="M503" s="5" t="s">
        <v>915</v>
      </c>
      <c r="N503" s="5" t="s">
        <v>862</v>
      </c>
      <c r="O503" s="5" t="s">
        <v>93</v>
      </c>
      <c r="P503" s="5" t="s">
        <v>9</v>
      </c>
      <c r="XFD503"/>
    </row>
    <row r="504" spans="1:16 16384:16384" s="5" customFormat="1">
      <c r="A504" s="5" t="str">
        <f t="shared" si="14"/>
        <v>RAS</v>
      </c>
      <c r="B504" s="5" t="str">
        <f t="shared" si="15"/>
        <v>RAS448937</v>
      </c>
      <c r="C504" s="5" t="str">
        <f>IF(ISNA(VLOOKUP(A504&amp;D504,VCEPReports,4,FALSE)),"",VLOOKUP(A504&amp;D504,VCEPReports,4,FALSE))</f>
        <v/>
      </c>
      <c r="D504" s="5">
        <v>448937</v>
      </c>
      <c r="E504" s="5" t="s">
        <v>212</v>
      </c>
      <c r="F504" s="6">
        <v>42843</v>
      </c>
      <c r="G504" s="5" t="s">
        <v>260</v>
      </c>
      <c r="H504" s="5" t="s">
        <v>109</v>
      </c>
      <c r="I504" s="5" t="s">
        <v>110</v>
      </c>
      <c r="J504" s="5" t="s">
        <v>0</v>
      </c>
      <c r="K504" s="5" t="s">
        <v>1</v>
      </c>
      <c r="L504" s="5" t="s">
        <v>2</v>
      </c>
      <c r="M504" s="5" t="s">
        <v>915</v>
      </c>
      <c r="N504" s="5" t="s">
        <v>863</v>
      </c>
      <c r="O504" s="5" t="s">
        <v>93</v>
      </c>
      <c r="P504" s="5" t="s">
        <v>9</v>
      </c>
      <c r="XFD504"/>
    </row>
    <row r="505" spans="1:16 16384:16384" s="5" customFormat="1">
      <c r="A505" s="5" t="str">
        <f t="shared" si="14"/>
        <v>RAS</v>
      </c>
      <c r="B505" s="5" t="str">
        <f t="shared" si="15"/>
        <v>RAS448938</v>
      </c>
      <c r="C505" s="5" t="str">
        <f>IF(ISNA(VLOOKUP(A505&amp;D505,VCEPReports,4,FALSE)),"",VLOOKUP(A505&amp;D505,VCEPReports,4,FALSE))</f>
        <v/>
      </c>
      <c r="D505" s="5">
        <v>448938</v>
      </c>
      <c r="E505" s="5" t="s">
        <v>212</v>
      </c>
      <c r="F505" s="6">
        <v>42843</v>
      </c>
      <c r="G505" s="5" t="s">
        <v>864</v>
      </c>
      <c r="H505" s="5" t="s">
        <v>109</v>
      </c>
      <c r="I505" s="5" t="s">
        <v>110</v>
      </c>
      <c r="J505" s="5" t="s">
        <v>0</v>
      </c>
      <c r="K505" s="5" t="s">
        <v>1</v>
      </c>
      <c r="L505" s="5" t="s">
        <v>2</v>
      </c>
      <c r="M505" s="5" t="s">
        <v>915</v>
      </c>
      <c r="N505" s="5" t="s">
        <v>865</v>
      </c>
      <c r="O505" s="5" t="s">
        <v>140</v>
      </c>
      <c r="P505" s="5" t="s">
        <v>9</v>
      </c>
      <c r="XFD505"/>
    </row>
    <row r="506" spans="1:16 16384:16384" s="5" customFormat="1">
      <c r="A506" s="5" t="str">
        <f t="shared" si="14"/>
        <v>RAS</v>
      </c>
      <c r="B506" s="5" t="str">
        <f t="shared" si="15"/>
        <v>RAS448939</v>
      </c>
      <c r="C506" s="5" t="str">
        <f>IF(ISNA(VLOOKUP(A506&amp;D506,VCEPReports,4,FALSE)),"",VLOOKUP(A506&amp;D506,VCEPReports,4,FALSE))</f>
        <v/>
      </c>
      <c r="D506" s="5">
        <v>448939</v>
      </c>
      <c r="E506" s="5" t="s">
        <v>65</v>
      </c>
      <c r="F506" s="6">
        <v>42843</v>
      </c>
      <c r="G506" s="5" t="s">
        <v>866</v>
      </c>
      <c r="H506" s="5" t="s">
        <v>109</v>
      </c>
      <c r="I506" s="5" t="s">
        <v>110</v>
      </c>
      <c r="J506" s="5" t="s">
        <v>0</v>
      </c>
      <c r="K506" s="5" t="s">
        <v>1</v>
      </c>
      <c r="L506" s="5" t="s">
        <v>2</v>
      </c>
      <c r="M506" s="5" t="s">
        <v>915</v>
      </c>
      <c r="N506" s="5" t="s">
        <v>867</v>
      </c>
      <c r="O506" s="5" t="s">
        <v>140</v>
      </c>
      <c r="P506" s="5" t="s">
        <v>9</v>
      </c>
      <c r="XFD506"/>
    </row>
    <row r="507" spans="1:16 16384:16384" s="5" customFormat="1">
      <c r="A507" s="5" t="str">
        <f t="shared" si="14"/>
        <v>RAS</v>
      </c>
      <c r="B507" s="5" t="str">
        <f t="shared" si="15"/>
        <v>RAS448940</v>
      </c>
      <c r="C507" s="5" t="str">
        <f>IF(ISNA(VLOOKUP(A507&amp;D507,VCEPReports,4,FALSE)),"",VLOOKUP(A507&amp;D507,VCEPReports,4,FALSE))</f>
        <v/>
      </c>
      <c r="D507" s="5">
        <v>448940</v>
      </c>
      <c r="E507" s="5" t="s">
        <v>212</v>
      </c>
      <c r="F507" s="6">
        <v>42843</v>
      </c>
      <c r="G507" s="5" t="s">
        <v>260</v>
      </c>
      <c r="H507" s="5" t="s">
        <v>109</v>
      </c>
      <c r="I507" s="5" t="s">
        <v>110</v>
      </c>
      <c r="J507" s="5" t="s">
        <v>0</v>
      </c>
      <c r="K507" s="5" t="s">
        <v>1</v>
      </c>
      <c r="L507" s="5" t="s">
        <v>2</v>
      </c>
      <c r="M507" s="5" t="s">
        <v>915</v>
      </c>
      <c r="N507" s="5" t="s">
        <v>868</v>
      </c>
      <c r="O507" s="5" t="s">
        <v>140</v>
      </c>
      <c r="P507" s="5" t="s">
        <v>9</v>
      </c>
      <c r="XFD507"/>
    </row>
    <row r="508" spans="1:16 16384:16384" s="5" customFormat="1">
      <c r="A508" s="5" t="str">
        <f t="shared" si="14"/>
        <v>RAS</v>
      </c>
      <c r="B508" s="5" t="str">
        <f t="shared" si="15"/>
        <v>RAS448941</v>
      </c>
      <c r="C508" s="5" t="str">
        <f>IF(ISNA(VLOOKUP(A508&amp;D508,VCEPReports,4,FALSE)),"",VLOOKUP(A508&amp;D508,VCEPReports,4,FALSE))</f>
        <v/>
      </c>
      <c r="D508" s="5">
        <v>448941</v>
      </c>
      <c r="E508" s="5" t="s">
        <v>65</v>
      </c>
      <c r="F508" s="6">
        <v>42843</v>
      </c>
      <c r="G508" s="5" t="s">
        <v>219</v>
      </c>
      <c r="H508" s="5" t="s">
        <v>109</v>
      </c>
      <c r="I508" s="5" t="s">
        <v>110</v>
      </c>
      <c r="J508" s="5" t="s">
        <v>0</v>
      </c>
      <c r="K508" s="5" t="s">
        <v>1</v>
      </c>
      <c r="L508" s="5" t="s">
        <v>2</v>
      </c>
      <c r="M508" s="5" t="s">
        <v>915</v>
      </c>
      <c r="N508" s="5" t="s">
        <v>869</v>
      </c>
      <c r="O508" s="5" t="s">
        <v>140</v>
      </c>
      <c r="P508" s="5" t="s">
        <v>9</v>
      </c>
      <c r="XFD508"/>
    </row>
    <row r="509" spans="1:16 16384:16384" s="5" customFormat="1">
      <c r="A509" s="5" t="str">
        <f t="shared" si="14"/>
        <v>RAS</v>
      </c>
      <c r="B509" s="5" t="str">
        <f t="shared" si="15"/>
        <v>RAS448942</v>
      </c>
      <c r="C509" s="5" t="str">
        <f>IF(ISNA(VLOOKUP(A509&amp;D509,VCEPReports,4,FALSE)),"",VLOOKUP(A509&amp;D509,VCEPReports,4,FALSE))</f>
        <v/>
      </c>
      <c r="D509" s="5">
        <v>448942</v>
      </c>
      <c r="E509" s="5" t="s">
        <v>65</v>
      </c>
      <c r="F509" s="6">
        <v>42843</v>
      </c>
      <c r="G509" s="5" t="s">
        <v>219</v>
      </c>
      <c r="H509" s="5" t="s">
        <v>109</v>
      </c>
      <c r="I509" s="5" t="s">
        <v>110</v>
      </c>
      <c r="J509" s="5" t="s">
        <v>0</v>
      </c>
      <c r="K509" s="5" t="s">
        <v>1</v>
      </c>
      <c r="L509" s="5" t="s">
        <v>2</v>
      </c>
      <c r="M509" s="5" t="s">
        <v>915</v>
      </c>
      <c r="N509" s="5" t="s">
        <v>870</v>
      </c>
      <c r="O509" s="5" t="s">
        <v>140</v>
      </c>
      <c r="P509" s="5" t="s">
        <v>9</v>
      </c>
      <c r="XFD509"/>
    </row>
    <row r="510" spans="1:16 16384:16384" s="5" customFormat="1">
      <c r="A510" s="5" t="str">
        <f t="shared" si="14"/>
        <v>RAS</v>
      </c>
      <c r="B510" s="5" t="str">
        <f t="shared" si="15"/>
        <v>RAS448943</v>
      </c>
      <c r="C510" s="5" t="str">
        <f>IF(ISNA(VLOOKUP(A510&amp;D510,VCEPReports,4,FALSE)),"",VLOOKUP(A510&amp;D510,VCEPReports,4,FALSE))</f>
        <v/>
      </c>
      <c r="D510" s="5">
        <v>448943</v>
      </c>
      <c r="E510" s="5" t="s">
        <v>65</v>
      </c>
      <c r="F510" s="6">
        <v>42843</v>
      </c>
      <c r="G510" s="5" t="s">
        <v>219</v>
      </c>
      <c r="H510" s="5" t="s">
        <v>109</v>
      </c>
      <c r="I510" s="5" t="s">
        <v>110</v>
      </c>
      <c r="J510" s="5" t="s">
        <v>0</v>
      </c>
      <c r="K510" s="5" t="s">
        <v>1</v>
      </c>
      <c r="L510" s="5" t="s">
        <v>2</v>
      </c>
      <c r="M510" s="5" t="s">
        <v>915</v>
      </c>
      <c r="N510" s="5" t="s">
        <v>871</v>
      </c>
      <c r="O510" s="5" t="s">
        <v>140</v>
      </c>
      <c r="P510" s="5" t="s">
        <v>9</v>
      </c>
      <c r="XFD510"/>
    </row>
    <row r="511" spans="1:16 16384:16384" s="5" customFormat="1">
      <c r="A511" s="5" t="str">
        <f t="shared" si="14"/>
        <v>RAS</v>
      </c>
      <c r="B511" s="5" t="str">
        <f t="shared" si="15"/>
        <v>RAS448944</v>
      </c>
      <c r="C511" s="5" t="str">
        <f>IF(ISNA(VLOOKUP(A511&amp;D511,VCEPReports,4,FALSE)),"",VLOOKUP(A511&amp;D511,VCEPReports,4,FALSE))</f>
        <v/>
      </c>
      <c r="D511" s="5">
        <v>448944</v>
      </c>
      <c r="E511" s="5" t="s">
        <v>212</v>
      </c>
      <c r="F511" s="6">
        <v>42843</v>
      </c>
      <c r="G511" s="5" t="s">
        <v>260</v>
      </c>
      <c r="H511" s="5" t="s">
        <v>109</v>
      </c>
      <c r="I511" s="5" t="s">
        <v>110</v>
      </c>
      <c r="J511" s="5" t="s">
        <v>0</v>
      </c>
      <c r="K511" s="5" t="s">
        <v>1</v>
      </c>
      <c r="L511" s="5" t="s">
        <v>2</v>
      </c>
      <c r="M511" s="5" t="s">
        <v>915</v>
      </c>
      <c r="N511" s="5" t="s">
        <v>872</v>
      </c>
      <c r="O511" s="5" t="s">
        <v>140</v>
      </c>
      <c r="P511" s="5" t="s">
        <v>9</v>
      </c>
      <c r="XFD511"/>
    </row>
    <row r="512" spans="1:16 16384:16384" s="5" customFormat="1">
      <c r="A512" s="5" t="str">
        <f t="shared" si="14"/>
        <v>RAS</v>
      </c>
      <c r="B512" s="5" t="str">
        <f t="shared" si="15"/>
        <v>RAS448945</v>
      </c>
      <c r="C512" s="5" t="str">
        <f>IF(ISNA(VLOOKUP(A512&amp;D512,VCEPReports,4,FALSE)),"",VLOOKUP(A512&amp;D512,VCEPReports,4,FALSE))</f>
        <v/>
      </c>
      <c r="D512" s="5">
        <v>448945</v>
      </c>
      <c r="E512" s="5" t="s">
        <v>212</v>
      </c>
      <c r="F512" s="6">
        <v>42843</v>
      </c>
      <c r="G512" s="5" t="s">
        <v>260</v>
      </c>
      <c r="H512" s="5" t="s">
        <v>109</v>
      </c>
      <c r="I512" s="5" t="s">
        <v>110</v>
      </c>
      <c r="J512" s="5" t="s">
        <v>0</v>
      </c>
      <c r="K512" s="5" t="s">
        <v>1</v>
      </c>
      <c r="L512" s="5" t="s">
        <v>2</v>
      </c>
      <c r="M512" s="5" t="s">
        <v>915</v>
      </c>
      <c r="N512" s="5" t="s">
        <v>873</v>
      </c>
      <c r="O512" s="5" t="s">
        <v>140</v>
      </c>
      <c r="P512" s="5" t="s">
        <v>9</v>
      </c>
      <c r="XFD512"/>
    </row>
    <row r="513" spans="1:16 16384:16384" s="5" customFormat="1">
      <c r="A513" s="5" t="str">
        <f t="shared" si="14"/>
        <v>RAS</v>
      </c>
      <c r="B513" s="5" t="str">
        <f t="shared" si="15"/>
        <v>RAS448946</v>
      </c>
      <c r="C513" s="5" t="str">
        <f>IF(ISNA(VLOOKUP(A513&amp;D513,VCEPReports,4,FALSE)),"",VLOOKUP(A513&amp;D513,VCEPReports,4,FALSE))</f>
        <v/>
      </c>
      <c r="D513" s="5">
        <v>448946</v>
      </c>
      <c r="E513" s="5" t="s">
        <v>212</v>
      </c>
      <c r="F513" s="6">
        <v>42843</v>
      </c>
      <c r="G513" s="5" t="s">
        <v>260</v>
      </c>
      <c r="H513" s="5" t="s">
        <v>109</v>
      </c>
      <c r="I513" s="5" t="s">
        <v>110</v>
      </c>
      <c r="J513" s="5" t="s">
        <v>0</v>
      </c>
      <c r="K513" s="5" t="s">
        <v>1</v>
      </c>
      <c r="L513" s="5" t="s">
        <v>2</v>
      </c>
      <c r="M513" s="5" t="s">
        <v>915</v>
      </c>
      <c r="N513" s="5" t="s">
        <v>874</v>
      </c>
      <c r="O513" s="5" t="s">
        <v>140</v>
      </c>
      <c r="P513" s="5" t="s">
        <v>9</v>
      </c>
      <c r="XFD513"/>
    </row>
    <row r="514" spans="1:16 16384:16384" s="5" customFormat="1">
      <c r="A514" s="5" t="str">
        <f t="shared" ref="A514:A528" si="16">VLOOKUP(M514,VCEPs,2,FALSE)</f>
        <v>RAS</v>
      </c>
      <c r="B514" s="5" t="str">
        <f t="shared" si="15"/>
        <v>RAS448947</v>
      </c>
      <c r="C514" s="5" t="str">
        <f>IF(ISNA(VLOOKUP(A514&amp;D514,VCEPReports,4,FALSE)),"",VLOOKUP(A514&amp;D514,VCEPReports,4,FALSE))</f>
        <v/>
      </c>
      <c r="D514" s="5">
        <v>448947</v>
      </c>
      <c r="E514" s="5" t="s">
        <v>65</v>
      </c>
      <c r="F514" s="6">
        <v>42843</v>
      </c>
      <c r="G514" s="5" t="s">
        <v>219</v>
      </c>
      <c r="H514" s="5" t="s">
        <v>109</v>
      </c>
      <c r="I514" s="5" t="s">
        <v>110</v>
      </c>
      <c r="J514" s="5" t="s">
        <v>0</v>
      </c>
      <c r="K514" s="5" t="s">
        <v>1</v>
      </c>
      <c r="L514" s="5" t="s">
        <v>2</v>
      </c>
      <c r="M514" s="5" t="s">
        <v>915</v>
      </c>
      <c r="N514" s="5" t="s">
        <v>875</v>
      </c>
      <c r="O514" s="5" t="s">
        <v>140</v>
      </c>
      <c r="P514" s="5" t="s">
        <v>9</v>
      </c>
      <c r="XFD514"/>
    </row>
    <row r="515" spans="1:16 16384:16384" s="5" customFormat="1">
      <c r="A515" s="5" t="str">
        <f t="shared" si="16"/>
        <v>RAS</v>
      </c>
      <c r="B515" s="5" t="str">
        <f t="shared" ref="B515:B528" si="17">CONCATENATE(A515,D515)</f>
        <v>RAS448948</v>
      </c>
      <c r="C515" s="5" t="str">
        <f>IF(ISNA(VLOOKUP(A515&amp;D515,VCEPReports,4,FALSE)),"",VLOOKUP(A515&amp;D515,VCEPReports,4,FALSE))</f>
        <v/>
      </c>
      <c r="D515" s="5">
        <v>448948</v>
      </c>
      <c r="E515" s="5" t="s">
        <v>212</v>
      </c>
      <c r="F515" s="6">
        <v>42864</v>
      </c>
      <c r="G515" s="5" t="s">
        <v>364</v>
      </c>
      <c r="H515" s="5" t="s">
        <v>109</v>
      </c>
      <c r="I515" s="5" t="s">
        <v>110</v>
      </c>
      <c r="J515" s="5" t="s">
        <v>0</v>
      </c>
      <c r="K515" s="5" t="s">
        <v>1</v>
      </c>
      <c r="L515" s="5" t="s">
        <v>2</v>
      </c>
      <c r="M515" s="5" t="s">
        <v>915</v>
      </c>
      <c r="N515" s="5" t="s">
        <v>876</v>
      </c>
      <c r="O515" s="5" t="s">
        <v>153</v>
      </c>
      <c r="P515" s="5" t="s">
        <v>9</v>
      </c>
      <c r="XFD515"/>
    </row>
    <row r="516" spans="1:16 16384:16384" s="5" customFormat="1">
      <c r="A516" s="5" t="str">
        <f t="shared" si="16"/>
        <v>RAS</v>
      </c>
      <c r="B516" s="5" t="str">
        <f t="shared" si="17"/>
        <v>RAS448949</v>
      </c>
      <c r="C516" s="5" t="str">
        <f>IF(ISNA(VLOOKUP(A516&amp;D516,VCEPReports,4,FALSE)),"",VLOOKUP(A516&amp;D516,VCEPReports,4,FALSE))</f>
        <v/>
      </c>
      <c r="D516" s="5">
        <v>448949</v>
      </c>
      <c r="E516" s="5" t="s">
        <v>212</v>
      </c>
      <c r="F516" s="6">
        <v>42864</v>
      </c>
      <c r="G516" s="5" t="s">
        <v>364</v>
      </c>
      <c r="H516" s="5" t="s">
        <v>109</v>
      </c>
      <c r="I516" s="5" t="s">
        <v>110</v>
      </c>
      <c r="J516" s="5" t="s">
        <v>0</v>
      </c>
      <c r="K516" s="5" t="s">
        <v>1</v>
      </c>
      <c r="L516" s="5" t="s">
        <v>2</v>
      </c>
      <c r="M516" s="5" t="s">
        <v>915</v>
      </c>
      <c r="N516" s="5" t="s">
        <v>877</v>
      </c>
      <c r="O516" s="5" t="s">
        <v>153</v>
      </c>
      <c r="P516" s="5" t="s">
        <v>9</v>
      </c>
      <c r="XFD516"/>
    </row>
    <row r="517" spans="1:16 16384:16384" s="5" customFormat="1">
      <c r="A517" s="5" t="str">
        <f t="shared" si="16"/>
        <v>RAS</v>
      </c>
      <c r="B517" s="5" t="str">
        <f t="shared" si="17"/>
        <v>RAS448950</v>
      </c>
      <c r="C517" s="5" t="str">
        <f>IF(ISNA(VLOOKUP(A517&amp;D517,VCEPReports,4,FALSE)),"",VLOOKUP(A517&amp;D517,VCEPReports,4,FALSE))</f>
        <v/>
      </c>
      <c r="D517" s="5">
        <v>448950</v>
      </c>
      <c r="E517" s="5" t="s">
        <v>212</v>
      </c>
      <c r="F517" s="6">
        <v>42864</v>
      </c>
      <c r="G517" s="5" t="s">
        <v>364</v>
      </c>
      <c r="H517" s="5" t="s">
        <v>109</v>
      </c>
      <c r="I517" s="5" t="s">
        <v>110</v>
      </c>
      <c r="J517" s="5" t="s">
        <v>0</v>
      </c>
      <c r="K517" s="5" t="s">
        <v>1</v>
      </c>
      <c r="L517" s="5" t="s">
        <v>2</v>
      </c>
      <c r="M517" s="5" t="s">
        <v>915</v>
      </c>
      <c r="N517" s="5" t="s">
        <v>878</v>
      </c>
      <c r="O517" s="5" t="s">
        <v>105</v>
      </c>
      <c r="P517" s="5" t="s">
        <v>9</v>
      </c>
      <c r="XFD517"/>
    </row>
    <row r="518" spans="1:16 16384:16384" s="5" customFormat="1">
      <c r="A518" s="5" t="str">
        <f t="shared" si="16"/>
        <v>RAS</v>
      </c>
      <c r="B518" s="5" t="str">
        <f t="shared" si="17"/>
        <v>RAS448951</v>
      </c>
      <c r="C518" s="5" t="str">
        <f>IF(ISNA(VLOOKUP(A518&amp;D518,VCEPReports,4,FALSE)),"",VLOOKUP(A518&amp;D518,VCEPReports,4,FALSE))</f>
        <v/>
      </c>
      <c r="D518" s="5">
        <v>448951</v>
      </c>
      <c r="E518" s="5" t="s">
        <v>65</v>
      </c>
      <c r="F518" s="6">
        <v>42864</v>
      </c>
      <c r="G518" s="5" t="s">
        <v>343</v>
      </c>
      <c r="H518" s="5" t="s">
        <v>109</v>
      </c>
      <c r="I518" s="5" t="s">
        <v>110</v>
      </c>
      <c r="J518" s="5" t="s">
        <v>0</v>
      </c>
      <c r="K518" s="5" t="s">
        <v>1</v>
      </c>
      <c r="L518" s="5" t="s">
        <v>2</v>
      </c>
      <c r="M518" s="5" t="s">
        <v>915</v>
      </c>
      <c r="N518" s="5" t="s">
        <v>879</v>
      </c>
      <c r="O518" s="5" t="s">
        <v>105</v>
      </c>
      <c r="P518" s="5" t="s">
        <v>9</v>
      </c>
      <c r="XFD518"/>
    </row>
    <row r="519" spans="1:16 16384:16384" s="5" customFormat="1">
      <c r="A519" s="5" t="str">
        <f t="shared" si="16"/>
        <v>RAS</v>
      </c>
      <c r="B519" s="5" t="str">
        <f t="shared" si="17"/>
        <v>RAS448952</v>
      </c>
      <c r="C519" s="5" t="str">
        <f>IF(ISNA(VLOOKUP(A519&amp;D519,VCEPReports,4,FALSE)),"",VLOOKUP(A519&amp;D519,VCEPReports,4,FALSE))</f>
        <v/>
      </c>
      <c r="D519" s="5">
        <v>448952</v>
      </c>
      <c r="E519" s="5" t="s">
        <v>65</v>
      </c>
      <c r="F519" s="6">
        <v>42864</v>
      </c>
      <c r="G519" s="5" t="s">
        <v>343</v>
      </c>
      <c r="H519" s="5" t="s">
        <v>109</v>
      </c>
      <c r="I519" s="5" t="s">
        <v>110</v>
      </c>
      <c r="J519" s="5" t="s">
        <v>0</v>
      </c>
      <c r="K519" s="5" t="s">
        <v>1</v>
      </c>
      <c r="L519" s="5" t="s">
        <v>2</v>
      </c>
      <c r="M519" s="5" t="s">
        <v>915</v>
      </c>
      <c r="N519" s="5" t="s">
        <v>880</v>
      </c>
      <c r="O519" s="5" t="s">
        <v>105</v>
      </c>
      <c r="P519" s="5" t="s">
        <v>9</v>
      </c>
      <c r="XFD519"/>
    </row>
    <row r="520" spans="1:16 16384:16384" s="5" customFormat="1">
      <c r="A520" s="5" t="str">
        <f t="shared" si="16"/>
        <v>RAS</v>
      </c>
      <c r="B520" s="5" t="str">
        <f t="shared" si="17"/>
        <v>RAS448953</v>
      </c>
      <c r="C520" s="5" t="str">
        <f>IF(ISNA(VLOOKUP(A520&amp;D520,VCEPReports,4,FALSE)),"",VLOOKUP(A520&amp;D520,VCEPReports,4,FALSE))</f>
        <v/>
      </c>
      <c r="D520" s="5">
        <v>448953</v>
      </c>
      <c r="E520" s="5" t="s">
        <v>65</v>
      </c>
      <c r="F520" s="6">
        <v>42864</v>
      </c>
      <c r="G520" s="5" t="s">
        <v>343</v>
      </c>
      <c r="H520" s="5" t="s">
        <v>109</v>
      </c>
      <c r="I520" s="5" t="s">
        <v>110</v>
      </c>
      <c r="J520" s="5" t="s">
        <v>0</v>
      </c>
      <c r="K520" s="5" t="s">
        <v>1</v>
      </c>
      <c r="L520" s="5" t="s">
        <v>2</v>
      </c>
      <c r="M520" s="5" t="s">
        <v>915</v>
      </c>
      <c r="N520" s="5" t="s">
        <v>881</v>
      </c>
      <c r="O520" s="5" t="s">
        <v>105</v>
      </c>
      <c r="P520" s="5" t="s">
        <v>9</v>
      </c>
      <c r="XFD520"/>
    </row>
    <row r="521" spans="1:16 16384:16384" s="5" customFormat="1">
      <c r="A521" s="5" t="str">
        <f t="shared" si="16"/>
        <v>RAS</v>
      </c>
      <c r="B521" s="5" t="str">
        <f t="shared" si="17"/>
        <v>RAS448954</v>
      </c>
      <c r="C521" s="5" t="str">
        <f>IF(ISNA(VLOOKUP(A521&amp;D521,VCEPReports,4,FALSE)),"",VLOOKUP(A521&amp;D521,VCEPReports,4,FALSE))</f>
        <v/>
      </c>
      <c r="D521" s="5">
        <v>448954</v>
      </c>
      <c r="E521" s="5" t="s">
        <v>212</v>
      </c>
      <c r="F521" s="6">
        <v>42864</v>
      </c>
      <c r="G521" s="5" t="s">
        <v>364</v>
      </c>
      <c r="H521" s="5" t="s">
        <v>109</v>
      </c>
      <c r="I521" s="5" t="s">
        <v>110</v>
      </c>
      <c r="J521" s="5" t="s">
        <v>0</v>
      </c>
      <c r="K521" s="5" t="s">
        <v>1</v>
      </c>
      <c r="L521" s="5" t="s">
        <v>2</v>
      </c>
      <c r="M521" s="5" t="s">
        <v>915</v>
      </c>
      <c r="N521" s="5" t="s">
        <v>882</v>
      </c>
      <c r="O521" s="5" t="s">
        <v>105</v>
      </c>
      <c r="P521" s="5" t="s">
        <v>9</v>
      </c>
      <c r="XFD521"/>
    </row>
    <row r="522" spans="1:16 16384:16384" s="5" customFormat="1">
      <c r="A522" s="5" t="str">
        <f t="shared" si="16"/>
        <v>HL</v>
      </c>
      <c r="B522" s="5" t="str">
        <f t="shared" si="17"/>
        <v>HL505302</v>
      </c>
      <c r="C522" s="5" t="str">
        <f>IF(ISNA(VLOOKUP(A522&amp;D522,VCEPReports,4,FALSE)),"",VLOOKUP(A522&amp;D522,VCEPReports,4,FALSE))</f>
        <v/>
      </c>
      <c r="D522" s="5">
        <v>505302</v>
      </c>
      <c r="E522" s="5" t="s">
        <v>24</v>
      </c>
      <c r="F522" s="6">
        <v>43353</v>
      </c>
      <c r="G522" s="5" t="s">
        <v>883</v>
      </c>
      <c r="H522" s="5" t="s">
        <v>79</v>
      </c>
      <c r="I522" s="5" t="s">
        <v>80</v>
      </c>
      <c r="J522" s="5" t="s">
        <v>0</v>
      </c>
      <c r="K522" s="5" t="s">
        <v>1</v>
      </c>
      <c r="L522" s="5" t="s">
        <v>2</v>
      </c>
      <c r="M522" s="5" t="s">
        <v>914</v>
      </c>
      <c r="N522" s="5" t="s">
        <v>884</v>
      </c>
      <c r="O522" s="5" t="s">
        <v>82</v>
      </c>
      <c r="P522" s="5" t="s">
        <v>9</v>
      </c>
      <c r="XFD522"/>
    </row>
    <row r="523" spans="1:16 16384:16384" s="5" customFormat="1">
      <c r="A523" s="5" t="str">
        <f t="shared" si="16"/>
        <v>HL</v>
      </c>
      <c r="B523" s="5" t="str">
        <f t="shared" si="17"/>
        <v>HL506273</v>
      </c>
      <c r="C523" s="5" t="str">
        <f>IF(ISNA(VLOOKUP(A523&amp;D523,VCEPReports,4,FALSE)),"",VLOOKUP(A523&amp;D523,VCEPReports,4,FALSE))</f>
        <v/>
      </c>
      <c r="D523" s="5">
        <v>506273</v>
      </c>
      <c r="E523" s="5" t="s">
        <v>3</v>
      </c>
      <c r="F523" s="6">
        <v>43360</v>
      </c>
      <c r="G523" s="5" t="s">
        <v>885</v>
      </c>
      <c r="H523" s="5" t="s">
        <v>67</v>
      </c>
      <c r="I523" s="5" t="s">
        <v>68</v>
      </c>
      <c r="J523" s="5" t="s">
        <v>0</v>
      </c>
      <c r="K523" s="5" t="s">
        <v>1</v>
      </c>
      <c r="L523" s="5" t="s">
        <v>2</v>
      </c>
      <c r="M523" s="5" t="s">
        <v>914</v>
      </c>
      <c r="N523" s="5" t="s">
        <v>886</v>
      </c>
      <c r="O523" s="5" t="s">
        <v>70</v>
      </c>
      <c r="P523" s="5" t="s">
        <v>9</v>
      </c>
      <c r="XFD523"/>
    </row>
    <row r="524" spans="1:16 16384:16384" s="5" customFormat="1">
      <c r="A524" s="5" t="str">
        <f t="shared" si="16"/>
        <v>HL</v>
      </c>
      <c r="B524" s="5" t="str">
        <f t="shared" si="17"/>
        <v>HL517357</v>
      </c>
      <c r="C524" s="5" t="str">
        <f>IF(ISNA(VLOOKUP(A524&amp;D524,VCEPReports,4,FALSE)),"",VLOOKUP(A524&amp;D524,VCEPReports,4,FALSE))</f>
        <v/>
      </c>
      <c r="D524" s="5">
        <v>517357</v>
      </c>
      <c r="E524" s="5" t="s">
        <v>86</v>
      </c>
      <c r="F524" s="6">
        <v>43371</v>
      </c>
      <c r="G524" s="5" t="s">
        <v>887</v>
      </c>
      <c r="H524" s="5" t="s">
        <v>79</v>
      </c>
      <c r="I524" s="5" t="s">
        <v>80</v>
      </c>
      <c r="J524" s="5" t="s">
        <v>0</v>
      </c>
      <c r="K524" s="5" t="s">
        <v>1</v>
      </c>
      <c r="L524" s="5" t="s">
        <v>2</v>
      </c>
      <c r="M524" s="5" t="s">
        <v>914</v>
      </c>
      <c r="N524" s="5" t="s">
        <v>888</v>
      </c>
      <c r="O524" s="5" t="s">
        <v>475</v>
      </c>
      <c r="P524" s="5" t="s">
        <v>9</v>
      </c>
      <c r="XFD524"/>
    </row>
    <row r="525" spans="1:16 16384:16384" s="5" customFormat="1">
      <c r="A525" s="5" t="str">
        <f t="shared" si="16"/>
        <v>HL</v>
      </c>
      <c r="B525" s="5" t="str">
        <f t="shared" si="17"/>
        <v>HL555720</v>
      </c>
      <c r="C525" s="5" t="str">
        <f>IF(ISNA(VLOOKUP(A525&amp;D525,VCEPReports,4,FALSE)),"",VLOOKUP(A525&amp;D525,VCEPReports,4,FALSE))</f>
        <v/>
      </c>
      <c r="D525" s="5">
        <v>555720</v>
      </c>
      <c r="E525" s="5" t="s">
        <v>86</v>
      </c>
      <c r="F525" s="6">
        <v>43363</v>
      </c>
      <c r="G525" s="5" t="s">
        <v>889</v>
      </c>
      <c r="H525" s="5" t="s">
        <v>79</v>
      </c>
      <c r="I525" s="5" t="s">
        <v>80</v>
      </c>
      <c r="J525" s="5" t="s">
        <v>0</v>
      </c>
      <c r="K525" s="5" t="s">
        <v>1</v>
      </c>
      <c r="L525" s="5" t="s">
        <v>2</v>
      </c>
      <c r="M525" s="5" t="s">
        <v>914</v>
      </c>
      <c r="N525" s="5" t="s">
        <v>890</v>
      </c>
      <c r="O525" s="5" t="s">
        <v>203</v>
      </c>
      <c r="P525" s="5" t="s">
        <v>9</v>
      </c>
      <c r="XFD525"/>
    </row>
    <row r="526" spans="1:16 16384:16384" s="5" customFormat="1">
      <c r="A526" s="5" t="str">
        <f t="shared" si="16"/>
        <v>HL</v>
      </c>
      <c r="B526" s="5" t="str">
        <f t="shared" si="17"/>
        <v>HL585322</v>
      </c>
      <c r="C526" s="5" t="str">
        <f>IF(ISNA(VLOOKUP(A526&amp;D526,VCEPReports,4,FALSE)),"",VLOOKUP(A526&amp;D526,VCEPReports,4,FALSE))</f>
        <v/>
      </c>
      <c r="D526" s="5">
        <v>585322</v>
      </c>
      <c r="E526" s="5" t="s">
        <v>86</v>
      </c>
      <c r="F526" s="6">
        <v>43370</v>
      </c>
      <c r="G526" s="5" t="s">
        <v>891</v>
      </c>
      <c r="H526" s="5" t="s">
        <v>79</v>
      </c>
      <c r="I526" s="5" t="s">
        <v>80</v>
      </c>
      <c r="J526" s="5" t="s">
        <v>0</v>
      </c>
      <c r="K526" s="5" t="s">
        <v>1</v>
      </c>
      <c r="L526" s="5" t="s">
        <v>2</v>
      </c>
      <c r="M526" s="5" t="s">
        <v>914</v>
      </c>
      <c r="N526" s="5" t="s">
        <v>892</v>
      </c>
      <c r="O526" s="5" t="s">
        <v>203</v>
      </c>
      <c r="P526" s="5" t="s">
        <v>9</v>
      </c>
      <c r="XFD526"/>
    </row>
    <row r="527" spans="1:16 16384:16384" s="5" customFormat="1">
      <c r="A527" s="5" t="str">
        <f t="shared" si="16"/>
        <v>HL</v>
      </c>
      <c r="B527" s="5" t="str">
        <f t="shared" si="17"/>
        <v>HL585327</v>
      </c>
      <c r="C527" s="5" t="str">
        <f>IF(ISNA(VLOOKUP(A527&amp;D527,VCEPReports,4,FALSE)),"",VLOOKUP(A527&amp;D527,VCEPReports,4,FALSE))</f>
        <v/>
      </c>
      <c r="D527" s="5">
        <v>585327</v>
      </c>
      <c r="E527" s="5" t="s">
        <v>86</v>
      </c>
      <c r="F527" s="6">
        <v>43353</v>
      </c>
      <c r="G527" s="5" t="s">
        <v>893</v>
      </c>
      <c r="H527" s="5" t="s">
        <v>79</v>
      </c>
      <c r="I527" s="5" t="s">
        <v>80</v>
      </c>
      <c r="J527" s="5" t="s">
        <v>0</v>
      </c>
      <c r="K527" s="5" t="s">
        <v>1</v>
      </c>
      <c r="L527" s="5" t="s">
        <v>2</v>
      </c>
      <c r="M527" s="5" t="s">
        <v>914</v>
      </c>
      <c r="N527" s="5" t="s">
        <v>894</v>
      </c>
      <c r="O527" s="5" t="s">
        <v>203</v>
      </c>
      <c r="P527" s="5" t="s">
        <v>9</v>
      </c>
      <c r="XFD527"/>
    </row>
    <row r="528" spans="1:16 16384:16384" s="9" customFormat="1">
      <c r="A528" s="9" t="str">
        <f t="shared" si="16"/>
        <v>PAH</v>
      </c>
      <c r="B528" s="9" t="str">
        <f t="shared" si="17"/>
        <v>PAH590340</v>
      </c>
      <c r="C528" s="5" t="str">
        <f>IF(ISNA(VLOOKUP(A528&amp;D528,VCEPReports,4,FALSE)),"",VLOOKUP(A528&amp;D528,VCEPReports,4,FALSE))</f>
        <v/>
      </c>
      <c r="D528" s="9">
        <v>590340</v>
      </c>
      <c r="E528" s="9" t="s">
        <v>212</v>
      </c>
      <c r="F528" s="10">
        <v>43325</v>
      </c>
      <c r="G528" s="9" t="s">
        <v>895</v>
      </c>
      <c r="H528" s="9" t="s">
        <v>5</v>
      </c>
      <c r="I528" s="9" t="s">
        <v>6</v>
      </c>
      <c r="J528" s="9" t="s">
        <v>0</v>
      </c>
      <c r="K528" s="9" t="s">
        <v>1</v>
      </c>
      <c r="L528" s="9" t="s">
        <v>2</v>
      </c>
      <c r="M528" s="9" t="s">
        <v>913</v>
      </c>
      <c r="N528" s="9" t="s">
        <v>896</v>
      </c>
      <c r="O528" s="9" t="s">
        <v>8</v>
      </c>
      <c r="P528" s="9" t="s">
        <v>9</v>
      </c>
      <c r="XFD528"/>
    </row>
    <row r="529" spans="16384:16384" s="11" customFormat="1"/>
    <row r="530" spans="16384:16384" s="11" customFormat="1">
      <c r="XFD53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B4B4-45D9-BF48-9ECD-6AEECBA208EC}">
  <sheetPr codeName="Sheet3"/>
  <dimension ref="A1:B5"/>
  <sheetViews>
    <sheetView workbookViewId="0">
      <selection sqref="A1:B7"/>
    </sheetView>
  </sheetViews>
  <sheetFormatPr baseColWidth="10" defaultRowHeight="16"/>
  <cols>
    <col min="1" max="1" width="41" bestFit="1" customWidth="1"/>
  </cols>
  <sheetData>
    <row r="1" spans="1:2">
      <c r="A1" t="s">
        <v>913</v>
      </c>
      <c r="B1" t="s">
        <v>8</v>
      </c>
    </row>
    <row r="2" spans="1:2">
      <c r="A2" t="s">
        <v>914</v>
      </c>
      <c r="B2" t="s">
        <v>910</v>
      </c>
    </row>
    <row r="3" spans="1:2">
      <c r="A3" t="s">
        <v>915</v>
      </c>
      <c r="B3" t="s">
        <v>911</v>
      </c>
    </row>
    <row r="4" spans="1:2">
      <c r="A4" t="s">
        <v>917</v>
      </c>
      <c r="B4" t="s">
        <v>98</v>
      </c>
    </row>
    <row r="5" spans="1:2">
      <c r="A5" t="s">
        <v>933</v>
      </c>
      <c r="B5" t="s">
        <v>945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88500-EEF3-CA43-9664-5FB2682C0A8C}">
  <sheetPr codeName="Sheet9"/>
  <dimension ref="A1:X82"/>
  <sheetViews>
    <sheetView topLeftCell="A31" workbookViewId="0">
      <selection activeCell="D61" sqref="D61"/>
    </sheetView>
  </sheetViews>
  <sheetFormatPr baseColWidth="10" defaultRowHeight="16"/>
  <cols>
    <col min="2" max="2" width="9" customWidth="1"/>
    <col min="4" max="4" width="37.33203125" customWidth="1"/>
    <col min="7" max="7" width="14.5" customWidth="1"/>
    <col min="8" max="8" width="22.1640625" customWidth="1"/>
    <col min="9" max="9" width="18.33203125" customWidth="1"/>
    <col min="10" max="10" width="19.1640625" customWidth="1"/>
    <col min="12" max="12" width="37.33203125" customWidth="1"/>
    <col min="13" max="13" width="22" customWidth="1"/>
    <col min="14" max="14" width="25.6640625" customWidth="1"/>
    <col min="15" max="15" width="27.1640625" customWidth="1"/>
    <col min="16" max="16" width="20.6640625" customWidth="1"/>
    <col min="17" max="17" width="23.6640625" style="4" customWidth="1"/>
    <col min="18" max="18" width="24.83203125" customWidth="1"/>
    <col min="19" max="19" width="17.1640625" style="4" customWidth="1"/>
    <col min="20" max="20" width="16" customWidth="1"/>
  </cols>
  <sheetData>
    <row r="1" spans="1:24">
      <c r="A1" t="s">
        <v>1195</v>
      </c>
      <c r="B1" t="s">
        <v>1724</v>
      </c>
      <c r="C1" t="s">
        <v>944</v>
      </c>
      <c r="D1" t="s">
        <v>1193</v>
      </c>
      <c r="E1" t="s">
        <v>946</v>
      </c>
      <c r="F1" t="s">
        <v>947</v>
      </c>
      <c r="G1" t="s">
        <v>948</v>
      </c>
      <c r="H1" t="s">
        <v>907</v>
      </c>
      <c r="I1" t="s">
        <v>949</v>
      </c>
      <c r="J1" t="s">
        <v>950</v>
      </c>
      <c r="K1" t="s">
        <v>951</v>
      </c>
      <c r="L1" t="s">
        <v>952</v>
      </c>
      <c r="M1" t="s">
        <v>953</v>
      </c>
      <c r="N1" t="s">
        <v>954</v>
      </c>
      <c r="O1" t="s">
        <v>955</v>
      </c>
      <c r="P1" t="s">
        <v>956</v>
      </c>
      <c r="Q1" s="4" t="s">
        <v>957</v>
      </c>
      <c r="R1" t="s">
        <v>958</v>
      </c>
      <c r="S1" s="4" t="s">
        <v>959</v>
      </c>
      <c r="T1" t="s">
        <v>960</v>
      </c>
      <c r="U1" t="s">
        <v>961</v>
      </c>
      <c r="V1" t="s">
        <v>962</v>
      </c>
      <c r="W1" t="s">
        <v>963</v>
      </c>
      <c r="X1" t="s">
        <v>964</v>
      </c>
    </row>
    <row r="2" spans="1:24">
      <c r="A2" t="str">
        <f>CONCATENATE(C2,E2)</f>
        <v>PTEN127662</v>
      </c>
      <c r="B2" t="b">
        <f>ISNA(VLOOKUP(A2,MasterLookup,1,FALSE))</f>
        <v>0</v>
      </c>
      <c r="C2" t="s">
        <v>98</v>
      </c>
      <c r="D2" t="s">
        <v>965</v>
      </c>
      <c r="E2">
        <v>127662</v>
      </c>
      <c r="F2">
        <v>133119</v>
      </c>
      <c r="H2" t="s">
        <v>675</v>
      </c>
      <c r="I2" t="s">
        <v>966</v>
      </c>
      <c r="J2" t="s">
        <v>967</v>
      </c>
      <c r="K2" t="s">
        <v>968</v>
      </c>
      <c r="M2" t="s">
        <v>95</v>
      </c>
      <c r="N2" t="s">
        <v>969</v>
      </c>
      <c r="O2" t="s">
        <v>970</v>
      </c>
      <c r="P2" t="s">
        <v>86</v>
      </c>
      <c r="Q2" s="4">
        <v>43047</v>
      </c>
      <c r="R2" t="s">
        <v>971</v>
      </c>
      <c r="S2" s="4">
        <v>43384</v>
      </c>
      <c r="T2" t="s">
        <v>98</v>
      </c>
      <c r="U2" t="s">
        <v>972</v>
      </c>
      <c r="V2" t="s">
        <v>973</v>
      </c>
    </row>
    <row r="3" spans="1:24">
      <c r="A3" t="str">
        <f>CONCATENATE(C3,E3)</f>
        <v>PTEN127667</v>
      </c>
      <c r="B3" t="b">
        <f>ISNA(VLOOKUP(A3,MasterLookup,1,FALSE))</f>
        <v>0</v>
      </c>
      <c r="C3" t="s">
        <v>98</v>
      </c>
      <c r="D3" t="s">
        <v>974</v>
      </c>
      <c r="E3">
        <v>127667</v>
      </c>
      <c r="F3">
        <v>133124</v>
      </c>
      <c r="H3" t="s">
        <v>677</v>
      </c>
      <c r="I3" t="s">
        <v>975</v>
      </c>
      <c r="J3" t="s">
        <v>976</v>
      </c>
      <c r="K3" t="s">
        <v>977</v>
      </c>
      <c r="M3" t="s">
        <v>95</v>
      </c>
      <c r="N3" t="s">
        <v>969</v>
      </c>
      <c r="O3" t="s">
        <v>970</v>
      </c>
      <c r="P3" t="s">
        <v>65</v>
      </c>
      <c r="Q3" s="4">
        <v>42888</v>
      </c>
      <c r="R3" t="s">
        <v>971</v>
      </c>
      <c r="S3" s="4">
        <v>43384</v>
      </c>
      <c r="T3" t="s">
        <v>98</v>
      </c>
      <c r="U3" t="s">
        <v>972</v>
      </c>
      <c r="V3" t="s">
        <v>973</v>
      </c>
    </row>
    <row r="4" spans="1:24">
      <c r="A4" t="str">
        <f>CONCATENATE(C4,E4)</f>
        <v>PTEN127687</v>
      </c>
      <c r="B4" t="b">
        <f>ISNA(VLOOKUP(A4,MasterLookup,1,FALSE))</f>
        <v>0</v>
      </c>
      <c r="C4" t="s">
        <v>98</v>
      </c>
      <c r="D4" t="s">
        <v>978</v>
      </c>
      <c r="E4">
        <v>127687</v>
      </c>
      <c r="F4">
        <v>133144</v>
      </c>
      <c r="H4" t="s">
        <v>679</v>
      </c>
      <c r="I4" t="s">
        <v>979</v>
      </c>
      <c r="J4" t="s">
        <v>980</v>
      </c>
      <c r="K4" t="s">
        <v>981</v>
      </c>
      <c r="M4" t="s">
        <v>95</v>
      </c>
      <c r="N4" t="s">
        <v>969</v>
      </c>
      <c r="O4" t="s">
        <v>970</v>
      </c>
      <c r="P4" t="s">
        <v>86</v>
      </c>
      <c r="Q4" s="4">
        <v>43047</v>
      </c>
      <c r="R4" t="s">
        <v>971</v>
      </c>
      <c r="S4" s="4">
        <v>43384</v>
      </c>
      <c r="T4" t="s">
        <v>98</v>
      </c>
      <c r="U4" t="s">
        <v>982</v>
      </c>
      <c r="V4" t="s">
        <v>973</v>
      </c>
    </row>
    <row r="5" spans="1:24">
      <c r="A5" t="str">
        <f>CONCATENATE(C5,E5)</f>
        <v>PTEN183722</v>
      </c>
      <c r="B5" t="b">
        <f>ISNA(VLOOKUP(A5,MasterLookup,1,FALSE))</f>
        <v>0</v>
      </c>
      <c r="C5" t="s">
        <v>98</v>
      </c>
      <c r="D5" t="s">
        <v>983</v>
      </c>
      <c r="E5">
        <v>183722</v>
      </c>
      <c r="F5">
        <v>183060</v>
      </c>
      <c r="H5" t="s">
        <v>767</v>
      </c>
      <c r="I5" t="s">
        <v>984</v>
      </c>
      <c r="J5" t="s">
        <v>985</v>
      </c>
      <c r="K5" t="s">
        <v>986</v>
      </c>
      <c r="M5" t="s">
        <v>95</v>
      </c>
      <c r="N5" t="s">
        <v>969</v>
      </c>
      <c r="O5" t="s">
        <v>970</v>
      </c>
      <c r="P5" t="s">
        <v>3</v>
      </c>
      <c r="Q5" s="4">
        <v>43026</v>
      </c>
      <c r="R5" t="s">
        <v>971</v>
      </c>
      <c r="S5" s="4">
        <v>43384</v>
      </c>
      <c r="T5" t="s">
        <v>98</v>
      </c>
      <c r="U5" t="s">
        <v>972</v>
      </c>
      <c r="V5" t="s">
        <v>973</v>
      </c>
    </row>
    <row r="6" spans="1:24">
      <c r="A6" t="str">
        <f>CONCATENATE(C6,E6)</f>
        <v>PTEN184104</v>
      </c>
      <c r="B6" t="b">
        <f>ISNA(VLOOKUP(A6,MasterLookup,1,FALSE))</f>
        <v>0</v>
      </c>
      <c r="C6" t="s">
        <v>98</v>
      </c>
      <c r="D6" t="s">
        <v>987</v>
      </c>
      <c r="E6">
        <v>184104</v>
      </c>
      <c r="F6">
        <v>183009</v>
      </c>
      <c r="H6" t="s">
        <v>769</v>
      </c>
      <c r="I6" t="s">
        <v>988</v>
      </c>
      <c r="J6" t="s">
        <v>989</v>
      </c>
      <c r="K6" t="s">
        <v>990</v>
      </c>
      <c r="M6" t="s">
        <v>95</v>
      </c>
      <c r="N6" t="s">
        <v>969</v>
      </c>
      <c r="O6" t="s">
        <v>970</v>
      </c>
      <c r="P6" t="s">
        <v>86</v>
      </c>
      <c r="Q6" s="4">
        <v>43087</v>
      </c>
      <c r="R6" t="s">
        <v>971</v>
      </c>
      <c r="S6" s="4">
        <v>43384</v>
      </c>
      <c r="T6" t="s">
        <v>98</v>
      </c>
      <c r="U6" t="s">
        <v>991</v>
      </c>
      <c r="V6" t="s">
        <v>973</v>
      </c>
    </row>
    <row r="7" spans="1:24">
      <c r="A7" t="str">
        <f>CONCATENATE(C7,E7)</f>
        <v>PTEN184505</v>
      </c>
      <c r="B7" t="b">
        <f>ISNA(VLOOKUP(A7,MasterLookup,1,FALSE))</f>
        <v>0</v>
      </c>
      <c r="C7" t="s">
        <v>98</v>
      </c>
      <c r="D7" t="s">
        <v>992</v>
      </c>
      <c r="E7">
        <v>184505</v>
      </c>
      <c r="F7">
        <v>183008</v>
      </c>
      <c r="H7" t="s">
        <v>771</v>
      </c>
      <c r="I7" t="s">
        <v>993</v>
      </c>
      <c r="J7" t="s">
        <v>994</v>
      </c>
      <c r="K7" t="s">
        <v>995</v>
      </c>
      <c r="M7" t="s">
        <v>95</v>
      </c>
      <c r="N7" t="s">
        <v>969</v>
      </c>
      <c r="O7" t="s">
        <v>970</v>
      </c>
      <c r="P7" t="s">
        <v>86</v>
      </c>
      <c r="Q7" s="4">
        <v>42718</v>
      </c>
      <c r="R7" t="s">
        <v>971</v>
      </c>
      <c r="S7" s="4">
        <v>43384</v>
      </c>
      <c r="T7" t="s">
        <v>98</v>
      </c>
      <c r="U7" t="s">
        <v>991</v>
      </c>
      <c r="V7" t="s">
        <v>973</v>
      </c>
    </row>
    <row r="8" spans="1:24">
      <c r="A8" t="str">
        <f>CONCATENATE(C8,E8)</f>
        <v>PTEN185213</v>
      </c>
      <c r="B8" t="b">
        <f>ISNA(VLOOKUP(A8,MasterLookup,1,FALSE))</f>
        <v>0</v>
      </c>
      <c r="C8" t="s">
        <v>98</v>
      </c>
      <c r="D8" t="s">
        <v>996</v>
      </c>
      <c r="E8">
        <v>185213</v>
      </c>
      <c r="F8">
        <v>183056</v>
      </c>
      <c r="H8" t="s">
        <v>773</v>
      </c>
      <c r="I8" t="s">
        <v>997</v>
      </c>
      <c r="J8" t="s">
        <v>998</v>
      </c>
      <c r="K8" t="s">
        <v>999</v>
      </c>
      <c r="M8" t="s">
        <v>95</v>
      </c>
      <c r="N8" t="s">
        <v>969</v>
      </c>
      <c r="O8" t="s">
        <v>970</v>
      </c>
      <c r="P8" t="s">
        <v>24</v>
      </c>
      <c r="Q8" s="4">
        <v>43026</v>
      </c>
      <c r="R8" t="s">
        <v>971</v>
      </c>
      <c r="S8" s="4">
        <v>43384</v>
      </c>
      <c r="T8" t="s">
        <v>98</v>
      </c>
      <c r="U8" t="s">
        <v>972</v>
      </c>
      <c r="V8" t="s">
        <v>973</v>
      </c>
    </row>
    <row r="9" spans="1:24">
      <c r="A9" t="str">
        <f>CONCATENATE(C9,E9)</f>
        <v>PTEN185989</v>
      </c>
      <c r="B9" t="b">
        <f>ISNA(VLOOKUP(A9,MasterLookup,1,FALSE))</f>
        <v>0</v>
      </c>
      <c r="C9" t="s">
        <v>98</v>
      </c>
      <c r="D9" t="s">
        <v>1000</v>
      </c>
      <c r="E9">
        <v>185989</v>
      </c>
      <c r="F9">
        <v>183020</v>
      </c>
      <c r="H9" t="s">
        <v>775</v>
      </c>
      <c r="I9" t="s">
        <v>1001</v>
      </c>
      <c r="J9" t="s">
        <v>1002</v>
      </c>
      <c r="K9" t="s">
        <v>1003</v>
      </c>
      <c r="M9" t="s">
        <v>95</v>
      </c>
      <c r="N9" t="s">
        <v>969</v>
      </c>
      <c r="O9" t="s">
        <v>970</v>
      </c>
      <c r="P9" t="s">
        <v>86</v>
      </c>
      <c r="Q9" s="4">
        <v>43047</v>
      </c>
      <c r="R9" t="s">
        <v>971</v>
      </c>
      <c r="S9" s="4">
        <v>43384</v>
      </c>
      <c r="T9" t="s">
        <v>98</v>
      </c>
      <c r="U9" t="s">
        <v>972</v>
      </c>
      <c r="V9" t="s">
        <v>973</v>
      </c>
    </row>
    <row r="10" spans="1:24">
      <c r="A10" t="str">
        <f>CONCATENATE(C10,E10)</f>
        <v>PTEN187590</v>
      </c>
      <c r="B10" t="b">
        <f>ISNA(VLOOKUP(A10,MasterLookup,1,FALSE))</f>
        <v>0</v>
      </c>
      <c r="C10" t="s">
        <v>98</v>
      </c>
      <c r="D10" t="s">
        <v>1004</v>
      </c>
      <c r="E10">
        <v>187590</v>
      </c>
      <c r="F10">
        <v>183017</v>
      </c>
      <c r="H10" t="s">
        <v>777</v>
      </c>
      <c r="I10" t="s">
        <v>1005</v>
      </c>
      <c r="J10" t="s">
        <v>1006</v>
      </c>
      <c r="K10" t="s">
        <v>1007</v>
      </c>
      <c r="M10" t="s">
        <v>95</v>
      </c>
      <c r="N10" t="s">
        <v>969</v>
      </c>
      <c r="O10" t="s">
        <v>970</v>
      </c>
      <c r="P10" t="s">
        <v>24</v>
      </c>
      <c r="Q10" s="4">
        <v>43026</v>
      </c>
      <c r="R10" t="s">
        <v>971</v>
      </c>
      <c r="S10" s="4">
        <v>43384</v>
      </c>
      <c r="T10" t="s">
        <v>98</v>
      </c>
      <c r="U10" t="s">
        <v>972</v>
      </c>
      <c r="V10" t="s">
        <v>973</v>
      </c>
    </row>
    <row r="11" spans="1:24">
      <c r="A11" t="str">
        <f>CONCATENATE(C11,E11)</f>
        <v>PTEN187657</v>
      </c>
      <c r="B11" t="b">
        <f>ISNA(VLOOKUP(A11,MasterLookup,1,FALSE))</f>
        <v>0</v>
      </c>
      <c r="C11" t="s">
        <v>98</v>
      </c>
      <c r="D11" t="s">
        <v>1008</v>
      </c>
      <c r="E11">
        <v>187657</v>
      </c>
      <c r="F11">
        <v>183051</v>
      </c>
      <c r="H11" t="s">
        <v>779</v>
      </c>
      <c r="I11" t="s">
        <v>1009</v>
      </c>
      <c r="J11" t="s">
        <v>1010</v>
      </c>
      <c r="K11" t="s">
        <v>1011</v>
      </c>
      <c r="M11" t="s">
        <v>95</v>
      </c>
      <c r="N11" t="s">
        <v>969</v>
      </c>
      <c r="O11" t="s">
        <v>970</v>
      </c>
      <c r="P11" t="s">
        <v>3</v>
      </c>
      <c r="Q11" s="4">
        <v>43026</v>
      </c>
      <c r="R11" t="s">
        <v>971</v>
      </c>
      <c r="S11" s="4">
        <v>43384</v>
      </c>
      <c r="T11" t="s">
        <v>98</v>
      </c>
      <c r="U11" t="s">
        <v>991</v>
      </c>
      <c r="V11" t="s">
        <v>973</v>
      </c>
    </row>
    <row r="12" spans="1:24">
      <c r="A12" t="str">
        <f>CONCATENATE(C12,E12)</f>
        <v>PTEN187673</v>
      </c>
      <c r="B12" t="b">
        <f>ISNA(VLOOKUP(A12,MasterLookup,1,FALSE))</f>
        <v>0</v>
      </c>
      <c r="C12" t="s">
        <v>98</v>
      </c>
      <c r="D12" t="s">
        <v>1012</v>
      </c>
      <c r="E12">
        <v>187673</v>
      </c>
      <c r="F12">
        <v>183064</v>
      </c>
      <c r="H12" t="s">
        <v>781</v>
      </c>
      <c r="I12" t="s">
        <v>1013</v>
      </c>
      <c r="J12" t="s">
        <v>1014</v>
      </c>
      <c r="K12" t="s">
        <v>1015</v>
      </c>
      <c r="M12" t="s">
        <v>95</v>
      </c>
      <c r="N12" t="s">
        <v>969</v>
      </c>
      <c r="O12" t="s">
        <v>970</v>
      </c>
      <c r="P12" t="s">
        <v>86</v>
      </c>
      <c r="Q12" s="4">
        <v>43047</v>
      </c>
      <c r="R12" t="s">
        <v>971</v>
      </c>
      <c r="S12" s="4">
        <v>43384</v>
      </c>
      <c r="T12" t="s">
        <v>98</v>
      </c>
      <c r="U12" t="s">
        <v>991</v>
      </c>
      <c r="V12" t="s">
        <v>973</v>
      </c>
    </row>
    <row r="13" spans="1:24">
      <c r="A13" t="str">
        <f>CONCATENATE(C13,E13)</f>
        <v>PTEN189406</v>
      </c>
      <c r="B13" t="b">
        <f>ISNA(VLOOKUP(A13,MasterLookup,1,FALSE))</f>
        <v>0</v>
      </c>
      <c r="C13" t="s">
        <v>98</v>
      </c>
      <c r="D13" t="s">
        <v>1016</v>
      </c>
      <c r="E13">
        <v>189406</v>
      </c>
      <c r="F13">
        <v>187355</v>
      </c>
      <c r="H13" t="s">
        <v>786</v>
      </c>
      <c r="I13" t="s">
        <v>1017</v>
      </c>
      <c r="J13" t="s">
        <v>1018</v>
      </c>
      <c r="K13" t="s">
        <v>1019</v>
      </c>
      <c r="M13" t="s">
        <v>95</v>
      </c>
      <c r="N13" t="s">
        <v>969</v>
      </c>
      <c r="O13" t="s">
        <v>970</v>
      </c>
      <c r="P13" t="s">
        <v>3</v>
      </c>
      <c r="Q13" s="4">
        <v>43026</v>
      </c>
      <c r="R13" t="s">
        <v>971</v>
      </c>
      <c r="S13" s="4">
        <v>43384</v>
      </c>
      <c r="T13" t="s">
        <v>98</v>
      </c>
      <c r="U13" t="s">
        <v>991</v>
      </c>
      <c r="V13" t="s">
        <v>973</v>
      </c>
    </row>
    <row r="14" spans="1:24">
      <c r="A14" t="str">
        <f>CONCATENATE(C14,E14)</f>
        <v>PTEN189411</v>
      </c>
      <c r="B14" t="b">
        <f>ISNA(VLOOKUP(A14,MasterLookup,1,FALSE))</f>
        <v>0</v>
      </c>
      <c r="C14" t="s">
        <v>98</v>
      </c>
      <c r="D14" t="s">
        <v>1020</v>
      </c>
      <c r="E14">
        <v>189411</v>
      </c>
      <c r="F14">
        <v>187361</v>
      </c>
      <c r="H14" t="s">
        <v>788</v>
      </c>
      <c r="I14" t="s">
        <v>1021</v>
      </c>
      <c r="J14" t="s">
        <v>1022</v>
      </c>
      <c r="K14" t="s">
        <v>1023</v>
      </c>
      <c r="M14" t="s">
        <v>95</v>
      </c>
      <c r="N14" t="s">
        <v>969</v>
      </c>
      <c r="O14" t="s">
        <v>970</v>
      </c>
      <c r="P14" t="s">
        <v>3</v>
      </c>
      <c r="Q14" s="4">
        <v>43026</v>
      </c>
      <c r="R14" t="s">
        <v>971</v>
      </c>
      <c r="S14" s="4">
        <v>43384</v>
      </c>
      <c r="T14" t="s">
        <v>98</v>
      </c>
      <c r="U14" t="s">
        <v>991</v>
      </c>
      <c r="V14" t="s">
        <v>973</v>
      </c>
    </row>
    <row r="15" spans="1:24">
      <c r="A15" t="str">
        <f>CONCATENATE(C15,E15)</f>
        <v>PTEN189425</v>
      </c>
      <c r="B15" t="b">
        <f>ISNA(VLOOKUP(A15,MasterLookup,1,FALSE))</f>
        <v>0</v>
      </c>
      <c r="C15" t="s">
        <v>98</v>
      </c>
      <c r="D15" t="s">
        <v>1024</v>
      </c>
      <c r="E15">
        <v>189425</v>
      </c>
      <c r="F15">
        <v>187336</v>
      </c>
      <c r="H15" t="s">
        <v>790</v>
      </c>
      <c r="I15" t="s">
        <v>1025</v>
      </c>
      <c r="J15" t="s">
        <v>1026</v>
      </c>
      <c r="K15" t="s">
        <v>1027</v>
      </c>
      <c r="M15" t="s">
        <v>95</v>
      </c>
      <c r="N15" t="s">
        <v>969</v>
      </c>
      <c r="O15" t="s">
        <v>970</v>
      </c>
      <c r="P15" t="s">
        <v>212</v>
      </c>
      <c r="Q15" s="4">
        <v>42718</v>
      </c>
      <c r="R15" t="s">
        <v>971</v>
      </c>
      <c r="S15" s="4">
        <v>43384</v>
      </c>
      <c r="T15" t="s">
        <v>98</v>
      </c>
      <c r="U15" t="s">
        <v>982</v>
      </c>
      <c r="V15" t="s">
        <v>973</v>
      </c>
    </row>
    <row r="16" spans="1:24">
      <c r="A16" t="str">
        <f>CONCATENATE(C16,E16)</f>
        <v>PTEN189426</v>
      </c>
      <c r="B16" t="b">
        <f>ISNA(VLOOKUP(A16,MasterLookup,1,FALSE))</f>
        <v>0</v>
      </c>
      <c r="C16" t="s">
        <v>98</v>
      </c>
      <c r="D16" t="s">
        <v>1028</v>
      </c>
      <c r="E16">
        <v>189426</v>
      </c>
      <c r="F16">
        <v>187351</v>
      </c>
      <c r="H16" t="s">
        <v>792</v>
      </c>
      <c r="I16" t="s">
        <v>1029</v>
      </c>
      <c r="J16" t="s">
        <v>1030</v>
      </c>
      <c r="K16" t="s">
        <v>1031</v>
      </c>
      <c r="M16" t="s">
        <v>95</v>
      </c>
      <c r="N16" t="s">
        <v>969</v>
      </c>
      <c r="O16" t="s">
        <v>970</v>
      </c>
      <c r="P16" t="s">
        <v>212</v>
      </c>
      <c r="Q16" s="4">
        <v>42718</v>
      </c>
      <c r="R16" t="s">
        <v>971</v>
      </c>
      <c r="S16" s="4">
        <v>43384</v>
      </c>
      <c r="T16" t="s">
        <v>98</v>
      </c>
      <c r="U16" t="s">
        <v>991</v>
      </c>
      <c r="V16" t="s">
        <v>973</v>
      </c>
    </row>
    <row r="17" spans="1:22">
      <c r="A17" t="str">
        <f>CONCATENATE(C17,E17)</f>
        <v>PTEN189441</v>
      </c>
      <c r="B17" t="b">
        <f>ISNA(VLOOKUP(A17,MasterLookup,1,FALSE))</f>
        <v>0</v>
      </c>
      <c r="C17" t="s">
        <v>98</v>
      </c>
      <c r="D17" t="s">
        <v>1032</v>
      </c>
      <c r="E17">
        <v>189441</v>
      </c>
      <c r="F17">
        <v>187386</v>
      </c>
      <c r="H17" t="s">
        <v>794</v>
      </c>
      <c r="I17" t="s">
        <v>1033</v>
      </c>
      <c r="J17" t="s">
        <v>1034</v>
      </c>
      <c r="K17" t="s">
        <v>1035</v>
      </c>
      <c r="M17" t="s">
        <v>95</v>
      </c>
      <c r="N17" t="s">
        <v>969</v>
      </c>
      <c r="O17" t="s">
        <v>970</v>
      </c>
      <c r="P17" t="s">
        <v>3</v>
      </c>
      <c r="Q17" s="4">
        <v>43026</v>
      </c>
      <c r="R17" t="s">
        <v>971</v>
      </c>
      <c r="S17" s="4">
        <v>43384</v>
      </c>
      <c r="T17" t="s">
        <v>98</v>
      </c>
      <c r="U17" t="s">
        <v>982</v>
      </c>
      <c r="V17" t="s">
        <v>973</v>
      </c>
    </row>
    <row r="18" spans="1:22">
      <c r="A18" t="str">
        <f>CONCATENATE(C18,E18)</f>
        <v>PTEN189462</v>
      </c>
      <c r="B18" t="b">
        <f>ISNA(VLOOKUP(A18,MasterLookup,1,FALSE))</f>
        <v>0</v>
      </c>
      <c r="C18" t="s">
        <v>98</v>
      </c>
      <c r="D18" t="s">
        <v>1036</v>
      </c>
      <c r="E18">
        <v>189462</v>
      </c>
      <c r="F18">
        <v>187328</v>
      </c>
      <c r="H18" t="s">
        <v>796</v>
      </c>
      <c r="I18" t="s">
        <v>1037</v>
      </c>
      <c r="J18" t="s">
        <v>1038</v>
      </c>
      <c r="K18" t="s">
        <v>1039</v>
      </c>
      <c r="M18" t="s">
        <v>95</v>
      </c>
      <c r="N18" t="s">
        <v>969</v>
      </c>
      <c r="O18" t="s">
        <v>970</v>
      </c>
      <c r="P18" t="s">
        <v>24</v>
      </c>
      <c r="Q18" s="4">
        <v>43026</v>
      </c>
      <c r="R18" t="s">
        <v>971</v>
      </c>
      <c r="S18" s="4">
        <v>43384</v>
      </c>
      <c r="T18" t="s">
        <v>98</v>
      </c>
      <c r="U18" t="s">
        <v>972</v>
      </c>
      <c r="V18" t="s">
        <v>973</v>
      </c>
    </row>
    <row r="19" spans="1:22">
      <c r="A19" t="str">
        <f>CONCATENATE(C19,E19)</f>
        <v>PTEN189500</v>
      </c>
      <c r="B19" t="b">
        <f>ISNA(VLOOKUP(A19,MasterLookup,1,FALSE))</f>
        <v>0</v>
      </c>
      <c r="C19" t="s">
        <v>98</v>
      </c>
      <c r="D19" t="s">
        <v>1040</v>
      </c>
      <c r="E19">
        <v>189500</v>
      </c>
      <c r="F19">
        <v>187363</v>
      </c>
      <c r="H19" t="s">
        <v>798</v>
      </c>
      <c r="I19" t="s">
        <v>1041</v>
      </c>
      <c r="J19" t="s">
        <v>1042</v>
      </c>
      <c r="K19" t="s">
        <v>1043</v>
      </c>
      <c r="M19" t="s">
        <v>95</v>
      </c>
      <c r="N19" t="s">
        <v>969</v>
      </c>
      <c r="O19" t="s">
        <v>970</v>
      </c>
      <c r="P19" t="s">
        <v>3</v>
      </c>
      <c r="Q19" s="4">
        <v>43026</v>
      </c>
      <c r="R19" t="s">
        <v>971</v>
      </c>
      <c r="S19" s="4">
        <v>43384</v>
      </c>
      <c r="T19" t="s">
        <v>98</v>
      </c>
      <c r="U19" t="s">
        <v>991</v>
      </c>
      <c r="V19" t="s">
        <v>973</v>
      </c>
    </row>
    <row r="20" spans="1:22">
      <c r="A20" t="str">
        <f>CONCATENATE(C20,E20)</f>
        <v>PTEN189520</v>
      </c>
      <c r="B20" t="b">
        <f>ISNA(VLOOKUP(A20,MasterLookup,1,FALSE))</f>
        <v>0</v>
      </c>
      <c r="C20" t="s">
        <v>98</v>
      </c>
      <c r="D20" t="s">
        <v>1044</v>
      </c>
      <c r="E20">
        <v>189520</v>
      </c>
      <c r="F20">
        <v>172162</v>
      </c>
      <c r="H20" t="s">
        <v>800</v>
      </c>
      <c r="I20" t="s">
        <v>1045</v>
      </c>
      <c r="J20" t="s">
        <v>1046</v>
      </c>
      <c r="K20" t="s">
        <v>1047</v>
      </c>
      <c r="M20" t="s">
        <v>95</v>
      </c>
      <c r="N20" t="s">
        <v>969</v>
      </c>
      <c r="O20" t="s">
        <v>970</v>
      </c>
      <c r="P20" t="s">
        <v>65</v>
      </c>
      <c r="Q20" s="4">
        <v>42627</v>
      </c>
      <c r="R20" t="s">
        <v>971</v>
      </c>
      <c r="S20" s="4">
        <v>43384</v>
      </c>
      <c r="T20" t="s">
        <v>98</v>
      </c>
      <c r="U20" t="s">
        <v>972</v>
      </c>
      <c r="V20" t="s">
        <v>973</v>
      </c>
    </row>
    <row r="21" spans="1:22">
      <c r="A21" t="str">
        <f>CONCATENATE(C21,E21)</f>
        <v>PTEN231916</v>
      </c>
      <c r="B21" t="b">
        <f>ISNA(VLOOKUP(A21,MasterLookup,1,FALSE))</f>
        <v>0</v>
      </c>
      <c r="C21" t="s">
        <v>98</v>
      </c>
      <c r="D21" t="s">
        <v>1048</v>
      </c>
      <c r="E21">
        <v>231916</v>
      </c>
      <c r="F21">
        <v>233842</v>
      </c>
      <c r="H21" t="s">
        <v>817</v>
      </c>
      <c r="I21" t="s">
        <v>1049</v>
      </c>
      <c r="J21" t="s">
        <v>1050</v>
      </c>
      <c r="K21" t="s">
        <v>1051</v>
      </c>
      <c r="M21" t="s">
        <v>95</v>
      </c>
      <c r="N21" t="s">
        <v>969</v>
      </c>
      <c r="O21" t="s">
        <v>970</v>
      </c>
      <c r="P21" t="s">
        <v>24</v>
      </c>
      <c r="Q21" s="4">
        <v>43026</v>
      </c>
      <c r="R21" t="s">
        <v>971</v>
      </c>
      <c r="S21" s="4">
        <v>43384</v>
      </c>
      <c r="T21" t="s">
        <v>98</v>
      </c>
      <c r="U21" t="s">
        <v>991</v>
      </c>
      <c r="V21" t="s">
        <v>973</v>
      </c>
    </row>
    <row r="22" spans="1:22">
      <c r="A22" t="str">
        <f>CONCATENATE(C22,E22)</f>
        <v>PTEN233415</v>
      </c>
      <c r="B22" t="b">
        <f>ISNA(VLOOKUP(A22,MasterLookup,1,FALSE))</f>
        <v>0</v>
      </c>
      <c r="C22" t="s">
        <v>98</v>
      </c>
      <c r="D22" t="s">
        <v>1052</v>
      </c>
      <c r="E22">
        <v>233415</v>
      </c>
      <c r="F22">
        <v>233839</v>
      </c>
      <c r="H22" t="s">
        <v>819</v>
      </c>
      <c r="I22" t="s">
        <v>1053</v>
      </c>
      <c r="J22" t="s">
        <v>1054</v>
      </c>
      <c r="K22" t="s">
        <v>1055</v>
      </c>
      <c r="M22" t="s">
        <v>95</v>
      </c>
      <c r="N22" t="s">
        <v>969</v>
      </c>
      <c r="O22" t="s">
        <v>970</v>
      </c>
      <c r="P22" t="s">
        <v>212</v>
      </c>
      <c r="Q22" s="4">
        <v>42655</v>
      </c>
      <c r="R22" t="s">
        <v>971</v>
      </c>
      <c r="S22" s="4">
        <v>43384</v>
      </c>
      <c r="T22" t="s">
        <v>98</v>
      </c>
      <c r="U22" t="s">
        <v>972</v>
      </c>
      <c r="V22" t="s">
        <v>973</v>
      </c>
    </row>
    <row r="23" spans="1:22">
      <c r="A23" t="str">
        <f>CONCATENATE(C23,E23)</f>
        <v>PTEN404140</v>
      </c>
      <c r="B23" t="b">
        <f>ISNA(VLOOKUP(A23,MasterLookup,1,FALSE))</f>
        <v>0</v>
      </c>
      <c r="C23" t="s">
        <v>98</v>
      </c>
      <c r="D23" t="s">
        <v>1056</v>
      </c>
      <c r="E23">
        <v>404140</v>
      </c>
      <c r="F23">
        <v>397720</v>
      </c>
      <c r="H23" t="s">
        <v>839</v>
      </c>
      <c r="I23" t="s">
        <v>1057</v>
      </c>
      <c r="J23" t="s">
        <v>1058</v>
      </c>
      <c r="K23" t="s">
        <v>1059</v>
      </c>
      <c r="M23" t="s">
        <v>95</v>
      </c>
      <c r="N23" t="s">
        <v>969</v>
      </c>
      <c r="O23" t="s">
        <v>970</v>
      </c>
      <c r="P23" t="s">
        <v>24</v>
      </c>
      <c r="Q23" s="4">
        <v>43026</v>
      </c>
      <c r="R23" t="s">
        <v>971</v>
      </c>
      <c r="S23" s="4">
        <v>43384</v>
      </c>
      <c r="T23" t="s">
        <v>98</v>
      </c>
      <c r="U23" t="s">
        <v>982</v>
      </c>
      <c r="V23" t="s">
        <v>973</v>
      </c>
    </row>
    <row r="24" spans="1:22">
      <c r="A24" t="str">
        <f>CONCATENATE(C24,E24)</f>
        <v>PTEN404147</v>
      </c>
      <c r="B24" t="b">
        <f>ISNA(VLOOKUP(A24,MasterLookup,1,FALSE))</f>
        <v>0</v>
      </c>
      <c r="C24" t="s">
        <v>98</v>
      </c>
      <c r="D24" t="s">
        <v>1060</v>
      </c>
      <c r="E24">
        <v>404147</v>
      </c>
      <c r="F24">
        <v>397912</v>
      </c>
      <c r="H24" t="s">
        <v>841</v>
      </c>
      <c r="I24" t="s">
        <v>1061</v>
      </c>
      <c r="J24" t="s">
        <v>1062</v>
      </c>
      <c r="K24" t="s">
        <v>1063</v>
      </c>
      <c r="M24" t="s">
        <v>95</v>
      </c>
      <c r="N24" t="s">
        <v>969</v>
      </c>
      <c r="O24" t="s">
        <v>970</v>
      </c>
      <c r="P24" t="s">
        <v>86</v>
      </c>
      <c r="Q24" s="4">
        <v>43103</v>
      </c>
      <c r="R24" t="s">
        <v>971</v>
      </c>
      <c r="S24" s="4">
        <v>43384</v>
      </c>
      <c r="T24" t="s">
        <v>98</v>
      </c>
      <c r="U24" t="s">
        <v>991</v>
      </c>
      <c r="V24" t="s">
        <v>973</v>
      </c>
    </row>
    <row r="25" spans="1:22">
      <c r="A25" t="str">
        <f>CONCATENATE(C25,E25)</f>
        <v>PTEN41682</v>
      </c>
      <c r="B25" t="b">
        <f>ISNA(VLOOKUP(A25,MasterLookup,1,FALSE))</f>
        <v>0</v>
      </c>
      <c r="C25" t="s">
        <v>98</v>
      </c>
      <c r="D25" t="s">
        <v>1064</v>
      </c>
      <c r="E25">
        <v>41682</v>
      </c>
      <c r="F25">
        <v>50121</v>
      </c>
      <c r="H25" t="s">
        <v>378</v>
      </c>
      <c r="I25" t="s">
        <v>1065</v>
      </c>
      <c r="J25" t="s">
        <v>1066</v>
      </c>
      <c r="K25" t="s">
        <v>1067</v>
      </c>
      <c r="M25" t="s">
        <v>95</v>
      </c>
      <c r="N25" t="s">
        <v>969</v>
      </c>
      <c r="O25" t="s">
        <v>970</v>
      </c>
      <c r="P25" t="s">
        <v>212</v>
      </c>
      <c r="Q25" s="4">
        <v>43196</v>
      </c>
      <c r="R25" t="s">
        <v>971</v>
      </c>
      <c r="S25" s="4">
        <v>43384</v>
      </c>
      <c r="T25" t="s">
        <v>98</v>
      </c>
      <c r="U25" t="s">
        <v>991</v>
      </c>
      <c r="V25" t="s">
        <v>973</v>
      </c>
    </row>
    <row r="26" spans="1:22">
      <c r="A26" t="str">
        <f>CONCATENATE(C26,E26)</f>
        <v>PTEN7829</v>
      </c>
      <c r="B26" t="b">
        <f>ISNA(VLOOKUP(A26,MasterLookup,1,FALSE))</f>
        <v>0</v>
      </c>
      <c r="C26" t="s">
        <v>98</v>
      </c>
      <c r="D26" t="s">
        <v>1068</v>
      </c>
      <c r="E26">
        <v>7829</v>
      </c>
      <c r="F26">
        <v>22868</v>
      </c>
      <c r="H26" t="s">
        <v>97</v>
      </c>
      <c r="I26" t="s">
        <v>1069</v>
      </c>
      <c r="J26" t="s">
        <v>1070</v>
      </c>
      <c r="K26" t="s">
        <v>1071</v>
      </c>
      <c r="M26" t="s">
        <v>95</v>
      </c>
      <c r="N26" t="s">
        <v>969</v>
      </c>
      <c r="O26" t="s">
        <v>970</v>
      </c>
      <c r="P26" t="s">
        <v>3</v>
      </c>
      <c r="Q26" s="4">
        <v>43026</v>
      </c>
      <c r="R26" t="s">
        <v>971</v>
      </c>
      <c r="S26" s="4">
        <v>43384</v>
      </c>
      <c r="T26" t="s">
        <v>98</v>
      </c>
      <c r="U26" t="s">
        <v>991</v>
      </c>
      <c r="V26" t="s">
        <v>973</v>
      </c>
    </row>
    <row r="27" spans="1:22">
      <c r="A27" t="str">
        <f>CONCATENATE(C27,E27)</f>
        <v>PTEN7844</v>
      </c>
      <c r="B27" t="b">
        <f>ISNA(VLOOKUP(A27,MasterLookup,1,FALSE))</f>
        <v>0</v>
      </c>
      <c r="C27" t="s">
        <v>98</v>
      </c>
      <c r="D27" t="s">
        <v>1072</v>
      </c>
      <c r="E27">
        <v>7844</v>
      </c>
      <c r="F27">
        <v>22883</v>
      </c>
      <c r="H27" t="s">
        <v>100</v>
      </c>
      <c r="I27" t="s">
        <v>1073</v>
      </c>
      <c r="J27" t="s">
        <v>1074</v>
      </c>
      <c r="K27" t="s">
        <v>1075</v>
      </c>
      <c r="M27" t="s">
        <v>95</v>
      </c>
      <c r="N27" t="s">
        <v>969</v>
      </c>
      <c r="O27" t="s">
        <v>970</v>
      </c>
      <c r="P27" t="s">
        <v>86</v>
      </c>
      <c r="Q27" s="4">
        <v>43196</v>
      </c>
      <c r="R27" t="s">
        <v>971</v>
      </c>
      <c r="S27" s="4">
        <v>43384</v>
      </c>
      <c r="T27" t="s">
        <v>98</v>
      </c>
      <c r="U27" t="s">
        <v>991</v>
      </c>
      <c r="V27" t="s">
        <v>973</v>
      </c>
    </row>
    <row r="28" spans="1:22">
      <c r="A28" t="str">
        <f>CONCATENATE(C28,E28)</f>
        <v>PTEN138835</v>
      </c>
      <c r="B28" t="b">
        <f>ISNA(VLOOKUP(A28,MasterLookup,1,FALSE))</f>
        <v>0</v>
      </c>
      <c r="C28" t="s">
        <v>98</v>
      </c>
      <c r="D28" t="s">
        <v>1076</v>
      </c>
      <c r="E28">
        <v>138835</v>
      </c>
      <c r="F28">
        <v>142538</v>
      </c>
      <c r="H28" t="s">
        <v>691</v>
      </c>
      <c r="I28" t="s">
        <v>1077</v>
      </c>
      <c r="J28" t="s">
        <v>1078</v>
      </c>
      <c r="K28" t="s">
        <v>1079</v>
      </c>
      <c r="M28" t="s">
        <v>95</v>
      </c>
      <c r="N28" t="s">
        <v>969</v>
      </c>
      <c r="O28" t="s">
        <v>970</v>
      </c>
      <c r="P28" t="s">
        <v>212</v>
      </c>
      <c r="Q28" s="4">
        <v>42627</v>
      </c>
      <c r="R28" t="s">
        <v>971</v>
      </c>
      <c r="S28" s="4">
        <v>43384</v>
      </c>
      <c r="T28" t="s">
        <v>98</v>
      </c>
      <c r="U28" t="s">
        <v>991</v>
      </c>
      <c r="V28" t="s">
        <v>973</v>
      </c>
    </row>
    <row r="29" spans="1:22">
      <c r="A29" t="str">
        <f>CONCATENATE(C29,E29)</f>
        <v>PTEN138836</v>
      </c>
      <c r="B29" t="b">
        <f>ISNA(VLOOKUP(A29,MasterLookup,1,FALSE))</f>
        <v>0</v>
      </c>
      <c r="C29" t="s">
        <v>98</v>
      </c>
      <c r="D29" t="s">
        <v>1080</v>
      </c>
      <c r="E29">
        <v>138836</v>
      </c>
      <c r="F29">
        <v>142539</v>
      </c>
      <c r="H29" t="s">
        <v>693</v>
      </c>
      <c r="I29" t="s">
        <v>1081</v>
      </c>
      <c r="J29" t="s">
        <v>1082</v>
      </c>
      <c r="K29" t="s">
        <v>1083</v>
      </c>
      <c r="M29" t="s">
        <v>95</v>
      </c>
      <c r="N29" t="s">
        <v>969</v>
      </c>
      <c r="O29" t="s">
        <v>970</v>
      </c>
      <c r="P29" t="s">
        <v>212</v>
      </c>
      <c r="Q29" s="4">
        <v>42683</v>
      </c>
      <c r="R29" t="s">
        <v>971</v>
      </c>
      <c r="S29" s="4">
        <v>43384</v>
      </c>
      <c r="T29" t="s">
        <v>98</v>
      </c>
      <c r="U29" t="s">
        <v>972</v>
      </c>
      <c r="V29" t="s">
        <v>973</v>
      </c>
    </row>
    <row r="30" spans="1:22">
      <c r="A30" t="str">
        <f>CONCATENATE(C30,E30)</f>
        <v>PTEN138837</v>
      </c>
      <c r="B30" t="b">
        <f>ISNA(VLOOKUP(A30,MasterLookup,1,FALSE))</f>
        <v>0</v>
      </c>
      <c r="C30" t="s">
        <v>98</v>
      </c>
      <c r="D30" t="s">
        <v>1084</v>
      </c>
      <c r="E30">
        <v>138837</v>
      </c>
      <c r="F30">
        <v>142540</v>
      </c>
      <c r="H30" t="s">
        <v>695</v>
      </c>
      <c r="I30" t="s">
        <v>1085</v>
      </c>
      <c r="J30" t="s">
        <v>1086</v>
      </c>
      <c r="K30" t="s">
        <v>1087</v>
      </c>
      <c r="M30" t="s">
        <v>95</v>
      </c>
      <c r="N30" t="s">
        <v>969</v>
      </c>
      <c r="O30" t="s">
        <v>970</v>
      </c>
      <c r="P30" t="s">
        <v>65</v>
      </c>
      <c r="Q30" s="4">
        <v>42627</v>
      </c>
      <c r="R30" t="s">
        <v>971</v>
      </c>
      <c r="S30" s="4">
        <v>43384</v>
      </c>
      <c r="T30" t="s">
        <v>98</v>
      </c>
      <c r="U30" t="s">
        <v>972</v>
      </c>
      <c r="V30" t="s">
        <v>973</v>
      </c>
    </row>
    <row r="31" spans="1:22">
      <c r="A31" t="str">
        <f>CONCATENATE(C31,E31)</f>
        <v>PTEN141485</v>
      </c>
      <c r="B31" t="b">
        <f>ISNA(VLOOKUP(A31,MasterLookup,1,FALSE))</f>
        <v>0</v>
      </c>
      <c r="C31" t="s">
        <v>98</v>
      </c>
      <c r="D31" t="s">
        <v>1088</v>
      </c>
      <c r="E31">
        <v>141485</v>
      </c>
      <c r="F31">
        <v>151199</v>
      </c>
      <c r="H31" t="s">
        <v>705</v>
      </c>
      <c r="I31" t="s">
        <v>1089</v>
      </c>
      <c r="J31" t="s">
        <v>1090</v>
      </c>
      <c r="K31" t="s">
        <v>1091</v>
      </c>
      <c r="M31" t="s">
        <v>95</v>
      </c>
      <c r="N31" t="s">
        <v>969</v>
      </c>
      <c r="O31" t="s">
        <v>970</v>
      </c>
      <c r="P31" t="s">
        <v>3</v>
      </c>
      <c r="Q31" s="4">
        <v>43026</v>
      </c>
      <c r="R31" t="s">
        <v>971</v>
      </c>
      <c r="S31" s="4">
        <v>43384</v>
      </c>
      <c r="T31" t="s">
        <v>98</v>
      </c>
      <c r="U31" t="s">
        <v>972</v>
      </c>
      <c r="V31" t="s">
        <v>973</v>
      </c>
    </row>
    <row r="32" spans="1:22">
      <c r="A32" t="str">
        <f>CONCATENATE(C32,E32)</f>
        <v>PTEN141654</v>
      </c>
      <c r="B32" t="b">
        <f>ISNA(VLOOKUP(A32,MasterLookup,1,FALSE))</f>
        <v>0</v>
      </c>
      <c r="C32" t="s">
        <v>98</v>
      </c>
      <c r="D32" t="s">
        <v>1092</v>
      </c>
      <c r="E32">
        <v>141654</v>
      </c>
      <c r="F32">
        <v>151368</v>
      </c>
      <c r="H32" t="s">
        <v>707</v>
      </c>
      <c r="I32" t="s">
        <v>1093</v>
      </c>
      <c r="J32" t="s">
        <v>1094</v>
      </c>
      <c r="K32" t="s">
        <v>1095</v>
      </c>
      <c r="M32" t="s">
        <v>95</v>
      </c>
      <c r="N32" t="s">
        <v>969</v>
      </c>
      <c r="O32" t="s">
        <v>970</v>
      </c>
      <c r="P32" t="s">
        <v>3</v>
      </c>
      <c r="Q32" s="4">
        <v>43026</v>
      </c>
      <c r="R32" t="s">
        <v>971</v>
      </c>
      <c r="S32" s="4">
        <v>43384</v>
      </c>
      <c r="T32" t="s">
        <v>98</v>
      </c>
      <c r="U32" t="s">
        <v>991</v>
      </c>
      <c r="V32" t="s">
        <v>973</v>
      </c>
    </row>
    <row r="33" spans="1:23">
      <c r="A33" t="str">
        <f>CONCATENATE(C33,E33)</f>
        <v>PTEN142269</v>
      </c>
      <c r="B33" t="b">
        <f>ISNA(VLOOKUP(A33,MasterLookup,1,FALSE))</f>
        <v>0</v>
      </c>
      <c r="C33" t="s">
        <v>98</v>
      </c>
      <c r="D33" t="s">
        <v>1096</v>
      </c>
      <c r="E33">
        <v>142269</v>
      </c>
      <c r="F33">
        <v>151983</v>
      </c>
      <c r="H33" t="s">
        <v>709</v>
      </c>
      <c r="I33" t="s">
        <v>1097</v>
      </c>
      <c r="J33" t="s">
        <v>1098</v>
      </c>
      <c r="K33" t="s">
        <v>1099</v>
      </c>
      <c r="M33" t="s">
        <v>95</v>
      </c>
      <c r="N33" t="s">
        <v>969</v>
      </c>
      <c r="O33" t="s">
        <v>970</v>
      </c>
      <c r="P33" t="s">
        <v>3</v>
      </c>
      <c r="Q33" s="4">
        <v>43026</v>
      </c>
      <c r="R33" t="s">
        <v>971</v>
      </c>
      <c r="S33" s="4">
        <v>43384</v>
      </c>
      <c r="T33" t="s">
        <v>98</v>
      </c>
      <c r="U33" t="s">
        <v>991</v>
      </c>
      <c r="V33" t="s">
        <v>973</v>
      </c>
    </row>
    <row r="34" spans="1:23">
      <c r="A34" t="str">
        <f>CONCATENATE(C34,E34)</f>
        <v>PTEN142423</v>
      </c>
      <c r="B34" t="b">
        <f>ISNA(VLOOKUP(A34,MasterLookup,1,FALSE))</f>
        <v>0</v>
      </c>
      <c r="C34" t="s">
        <v>98</v>
      </c>
      <c r="D34" t="s">
        <v>1100</v>
      </c>
      <c r="E34">
        <v>142423</v>
      </c>
      <c r="F34">
        <v>152137</v>
      </c>
      <c r="H34" t="s">
        <v>711</v>
      </c>
      <c r="I34" t="s">
        <v>1101</v>
      </c>
      <c r="J34" t="s">
        <v>1102</v>
      </c>
      <c r="K34" t="s">
        <v>1103</v>
      </c>
      <c r="M34" t="s">
        <v>95</v>
      </c>
      <c r="N34" t="s">
        <v>969</v>
      </c>
      <c r="O34" t="s">
        <v>970</v>
      </c>
      <c r="P34" t="s">
        <v>3</v>
      </c>
      <c r="Q34" s="4">
        <v>43026</v>
      </c>
      <c r="R34" t="s">
        <v>971</v>
      </c>
      <c r="S34" s="4">
        <v>43384</v>
      </c>
      <c r="T34" t="s">
        <v>98</v>
      </c>
      <c r="U34" t="s">
        <v>972</v>
      </c>
      <c r="V34" t="s">
        <v>973</v>
      </c>
    </row>
    <row r="35" spans="1:23">
      <c r="A35" t="str">
        <f>CONCATENATE(C35,E35)</f>
        <v>PTEN142681</v>
      </c>
      <c r="B35" t="b">
        <f>ISNA(VLOOKUP(A35,MasterLookup,1,FALSE))</f>
        <v>0</v>
      </c>
      <c r="C35" t="s">
        <v>98</v>
      </c>
      <c r="D35" t="s">
        <v>1104</v>
      </c>
      <c r="E35">
        <v>142681</v>
      </c>
      <c r="F35">
        <v>152395</v>
      </c>
      <c r="H35" t="s">
        <v>713</v>
      </c>
      <c r="I35" t="s">
        <v>1105</v>
      </c>
      <c r="J35" t="s">
        <v>1106</v>
      </c>
      <c r="K35" t="s">
        <v>1107</v>
      </c>
      <c r="M35" t="s">
        <v>95</v>
      </c>
      <c r="N35" t="s">
        <v>969</v>
      </c>
      <c r="O35" t="s">
        <v>970</v>
      </c>
      <c r="P35" t="s">
        <v>86</v>
      </c>
      <c r="Q35" s="4">
        <v>43047</v>
      </c>
      <c r="R35" t="s">
        <v>971</v>
      </c>
      <c r="S35" s="4">
        <v>43384</v>
      </c>
      <c r="T35" t="s">
        <v>98</v>
      </c>
      <c r="U35" t="s">
        <v>982</v>
      </c>
      <c r="V35" t="s">
        <v>973</v>
      </c>
    </row>
    <row r="36" spans="1:23">
      <c r="A36" t="str">
        <f>CONCATENATE(C36,E36)</f>
        <v>PTEN220007</v>
      </c>
      <c r="B36" t="b">
        <f>ISNA(VLOOKUP(A36,MasterLookup,1,FALSE))</f>
        <v>0</v>
      </c>
      <c r="C36" t="s">
        <v>98</v>
      </c>
      <c r="D36" s="3" t="s">
        <v>1108</v>
      </c>
      <c r="E36">
        <v>220007</v>
      </c>
      <c r="F36">
        <v>222000</v>
      </c>
      <c r="H36" t="s">
        <v>807</v>
      </c>
      <c r="I36" t="s">
        <v>1109</v>
      </c>
      <c r="J36" t="s">
        <v>1110</v>
      </c>
      <c r="K36" t="s">
        <v>1111</v>
      </c>
      <c r="M36" t="s">
        <v>95</v>
      </c>
      <c r="N36" t="s">
        <v>969</v>
      </c>
      <c r="O36" t="s">
        <v>970</v>
      </c>
      <c r="P36" t="s">
        <v>24</v>
      </c>
      <c r="Q36" s="4">
        <v>43369</v>
      </c>
      <c r="R36" t="s">
        <v>971</v>
      </c>
      <c r="S36" s="4">
        <v>43384</v>
      </c>
      <c r="T36" t="s">
        <v>98</v>
      </c>
      <c r="U36" t="s">
        <v>991</v>
      </c>
      <c r="V36" t="s">
        <v>973</v>
      </c>
    </row>
    <row r="37" spans="1:23">
      <c r="A37" t="str">
        <f>CONCATENATE(C37,E37)</f>
        <v>PTEN92808</v>
      </c>
      <c r="B37" t="b">
        <f>ISNA(VLOOKUP(A37,MasterLookup,1,FALSE))</f>
        <v>0</v>
      </c>
      <c r="C37" t="s">
        <v>98</v>
      </c>
      <c r="D37" t="s">
        <v>1112</v>
      </c>
      <c r="E37">
        <v>92808</v>
      </c>
      <c r="F37">
        <v>98715</v>
      </c>
      <c r="H37" t="s">
        <v>587</v>
      </c>
      <c r="I37" t="s">
        <v>1113</v>
      </c>
      <c r="J37" t="s">
        <v>1114</v>
      </c>
      <c r="K37" t="s">
        <v>1115</v>
      </c>
      <c r="M37" t="s">
        <v>95</v>
      </c>
      <c r="N37" t="s">
        <v>969</v>
      </c>
      <c r="O37" t="s">
        <v>970</v>
      </c>
      <c r="P37" t="s">
        <v>65</v>
      </c>
      <c r="Q37" s="4">
        <v>42683</v>
      </c>
      <c r="R37" t="s">
        <v>971</v>
      </c>
      <c r="S37" s="4">
        <v>43384</v>
      </c>
      <c r="T37" t="s">
        <v>98</v>
      </c>
      <c r="U37" t="s">
        <v>991</v>
      </c>
      <c r="V37" t="s">
        <v>973</v>
      </c>
    </row>
    <row r="38" spans="1:23">
      <c r="A38" t="str">
        <f>CONCATENATE(C38,E38)</f>
        <v>PTEN92810</v>
      </c>
      <c r="B38" t="b">
        <f>ISNA(VLOOKUP(A38,MasterLookup,1,FALSE))</f>
        <v>0</v>
      </c>
      <c r="C38" t="s">
        <v>98</v>
      </c>
      <c r="D38" t="s">
        <v>1116</v>
      </c>
      <c r="E38">
        <v>92810</v>
      </c>
      <c r="F38">
        <v>98717</v>
      </c>
      <c r="H38" t="s">
        <v>589</v>
      </c>
      <c r="I38" t="s">
        <v>1117</v>
      </c>
      <c r="J38" t="s">
        <v>1118</v>
      </c>
      <c r="K38" t="s">
        <v>1119</v>
      </c>
      <c r="M38" t="s">
        <v>95</v>
      </c>
      <c r="N38" t="s">
        <v>969</v>
      </c>
      <c r="O38" t="s">
        <v>970</v>
      </c>
      <c r="P38" t="s">
        <v>65</v>
      </c>
      <c r="Q38" s="4">
        <v>42627</v>
      </c>
      <c r="R38" t="s">
        <v>971</v>
      </c>
      <c r="S38" s="4">
        <v>43384</v>
      </c>
      <c r="T38" t="s">
        <v>98</v>
      </c>
      <c r="U38" t="s">
        <v>972</v>
      </c>
      <c r="V38" t="s">
        <v>973</v>
      </c>
    </row>
    <row r="39" spans="1:23">
      <c r="A39" t="str">
        <f>CONCATENATE(C39,E39)</f>
        <v>PTEN92813</v>
      </c>
      <c r="B39" t="b">
        <f>ISNA(VLOOKUP(A39,MasterLookup,1,FALSE))</f>
        <v>0</v>
      </c>
      <c r="C39" t="s">
        <v>98</v>
      </c>
      <c r="D39" t="s">
        <v>1120</v>
      </c>
      <c r="E39">
        <v>92813</v>
      </c>
      <c r="F39">
        <v>98720</v>
      </c>
      <c r="H39" t="s">
        <v>591</v>
      </c>
      <c r="I39" t="s">
        <v>1121</v>
      </c>
      <c r="J39" t="s">
        <v>1122</v>
      </c>
      <c r="K39" t="s">
        <v>1123</v>
      </c>
      <c r="M39" t="s">
        <v>95</v>
      </c>
      <c r="N39" t="s">
        <v>969</v>
      </c>
      <c r="O39" t="s">
        <v>970</v>
      </c>
      <c r="P39" t="s">
        <v>212</v>
      </c>
      <c r="Q39" s="4">
        <v>42683</v>
      </c>
      <c r="R39" t="s">
        <v>971</v>
      </c>
      <c r="S39" s="4">
        <v>43384</v>
      </c>
      <c r="T39" t="s">
        <v>98</v>
      </c>
      <c r="U39" t="s">
        <v>991</v>
      </c>
      <c r="V39" t="s">
        <v>973</v>
      </c>
    </row>
    <row r="40" spans="1:23">
      <c r="A40" t="str">
        <f>CONCATENATE(C40,E40)</f>
        <v>PTEN92816</v>
      </c>
      <c r="B40" t="b">
        <f>ISNA(VLOOKUP(A40,MasterLookup,1,FALSE))</f>
        <v>0</v>
      </c>
      <c r="C40" t="s">
        <v>98</v>
      </c>
      <c r="D40" t="s">
        <v>1124</v>
      </c>
      <c r="E40">
        <v>92816</v>
      </c>
      <c r="F40">
        <v>98723</v>
      </c>
      <c r="H40" t="s">
        <v>593</v>
      </c>
      <c r="I40" t="s">
        <v>1125</v>
      </c>
      <c r="J40" t="s">
        <v>1126</v>
      </c>
      <c r="K40" t="s">
        <v>1127</v>
      </c>
      <c r="M40" t="s">
        <v>95</v>
      </c>
      <c r="N40" t="s">
        <v>969</v>
      </c>
      <c r="O40" t="s">
        <v>970</v>
      </c>
      <c r="P40" t="s">
        <v>3</v>
      </c>
      <c r="Q40" s="4">
        <v>43087</v>
      </c>
      <c r="R40" t="s">
        <v>971</v>
      </c>
      <c r="S40" s="4">
        <v>43384</v>
      </c>
      <c r="T40" t="s">
        <v>98</v>
      </c>
      <c r="U40" t="s">
        <v>982</v>
      </c>
      <c r="V40" t="s">
        <v>973</v>
      </c>
    </row>
    <row r="41" spans="1:23">
      <c r="A41" t="str">
        <f>CONCATENATE(C41,E41)</f>
        <v>PTEN92818</v>
      </c>
      <c r="B41" t="b">
        <f>ISNA(VLOOKUP(A41,MasterLookup,1,FALSE))</f>
        <v>0</v>
      </c>
      <c r="C41" t="s">
        <v>98</v>
      </c>
      <c r="D41" t="s">
        <v>1128</v>
      </c>
      <c r="E41">
        <v>92818</v>
      </c>
      <c r="F41">
        <v>98725</v>
      </c>
      <c r="H41" t="s">
        <v>595</v>
      </c>
      <c r="I41" t="s">
        <v>1129</v>
      </c>
      <c r="J41" t="s">
        <v>1130</v>
      </c>
      <c r="K41" t="s">
        <v>1131</v>
      </c>
      <c r="M41" t="s">
        <v>95</v>
      </c>
      <c r="N41" t="s">
        <v>969</v>
      </c>
      <c r="O41" t="s">
        <v>970</v>
      </c>
      <c r="P41" t="s">
        <v>212</v>
      </c>
      <c r="Q41" s="4">
        <v>42718</v>
      </c>
      <c r="R41" t="s">
        <v>971</v>
      </c>
      <c r="S41" s="4">
        <v>43384</v>
      </c>
      <c r="T41" t="s">
        <v>98</v>
      </c>
      <c r="U41" t="s">
        <v>972</v>
      </c>
      <c r="V41" t="s">
        <v>973</v>
      </c>
    </row>
    <row r="42" spans="1:23">
      <c r="A42" t="str">
        <f>CONCATENATE(C42,E42)</f>
        <v>PTEN92827</v>
      </c>
      <c r="B42" t="b">
        <f>ISNA(VLOOKUP(A42,MasterLookup,1,FALSE))</f>
        <v>0</v>
      </c>
      <c r="C42" t="s">
        <v>98</v>
      </c>
      <c r="D42" t="s">
        <v>1132</v>
      </c>
      <c r="E42">
        <v>92827</v>
      </c>
      <c r="F42">
        <v>98734</v>
      </c>
      <c r="H42" t="s">
        <v>597</v>
      </c>
      <c r="I42" t="s">
        <v>1133</v>
      </c>
      <c r="J42" t="s">
        <v>1134</v>
      </c>
      <c r="K42" t="s">
        <v>1135</v>
      </c>
      <c r="M42" t="s">
        <v>95</v>
      </c>
      <c r="N42" t="s">
        <v>969</v>
      </c>
      <c r="O42" t="s">
        <v>970</v>
      </c>
      <c r="P42" t="s">
        <v>65</v>
      </c>
      <c r="Q42" s="4">
        <v>42627</v>
      </c>
      <c r="R42" t="s">
        <v>971</v>
      </c>
      <c r="S42" s="4">
        <v>43384</v>
      </c>
      <c r="T42" t="s">
        <v>98</v>
      </c>
      <c r="U42" t="s">
        <v>972</v>
      </c>
      <c r="V42" t="s">
        <v>973</v>
      </c>
    </row>
    <row r="43" spans="1:23">
      <c r="A43" t="str">
        <f>CONCATENATE(C43,E43)</f>
        <v>PTEN92829</v>
      </c>
      <c r="B43" t="b">
        <f>ISNA(VLOOKUP(A43,MasterLookup,1,FALSE))</f>
        <v>0</v>
      </c>
      <c r="C43" t="s">
        <v>98</v>
      </c>
      <c r="D43" t="s">
        <v>1136</v>
      </c>
      <c r="E43">
        <v>92829</v>
      </c>
      <c r="F43">
        <v>98736</v>
      </c>
      <c r="H43" t="s">
        <v>599</v>
      </c>
      <c r="I43" t="s">
        <v>1137</v>
      </c>
      <c r="J43" t="s">
        <v>1138</v>
      </c>
      <c r="K43" t="s">
        <v>1139</v>
      </c>
      <c r="M43" t="s">
        <v>95</v>
      </c>
      <c r="N43" t="s">
        <v>969</v>
      </c>
      <c r="O43" t="s">
        <v>970</v>
      </c>
      <c r="P43" t="s">
        <v>212</v>
      </c>
      <c r="Q43" s="4">
        <v>43369</v>
      </c>
      <c r="R43" t="s">
        <v>971</v>
      </c>
      <c r="S43" s="4">
        <v>43384</v>
      </c>
      <c r="T43" t="s">
        <v>98</v>
      </c>
      <c r="U43" t="s">
        <v>972</v>
      </c>
      <c r="V43" t="s">
        <v>973</v>
      </c>
    </row>
    <row r="44" spans="1:23">
      <c r="A44" t="str">
        <f>CONCATENATE(C44,E44)</f>
        <v>PTEN7831</v>
      </c>
      <c r="B44" t="b">
        <f>ISNA(VLOOKUP(A44,MasterLookup,1,FALSE))</f>
        <v>0</v>
      </c>
      <c r="C44" t="s">
        <v>98</v>
      </c>
      <c r="D44" t="s">
        <v>1140</v>
      </c>
      <c r="E44">
        <v>7831</v>
      </c>
      <c r="F44">
        <v>22870</v>
      </c>
      <c r="G44" t="s">
        <v>1140</v>
      </c>
      <c r="H44" t="s">
        <v>930</v>
      </c>
      <c r="I44" t="s">
        <v>1141</v>
      </c>
      <c r="J44" t="s">
        <v>1142</v>
      </c>
      <c r="K44" t="s">
        <v>1143</v>
      </c>
      <c r="M44" t="s">
        <v>95</v>
      </c>
      <c r="N44" t="s">
        <v>969</v>
      </c>
      <c r="O44" t="s">
        <v>970</v>
      </c>
      <c r="P44" t="s">
        <v>24</v>
      </c>
      <c r="Q44" s="4">
        <v>43196</v>
      </c>
      <c r="R44" t="s">
        <v>971</v>
      </c>
      <c r="S44" s="4">
        <v>43437</v>
      </c>
      <c r="T44" t="s">
        <v>98</v>
      </c>
      <c r="U44" t="s">
        <v>972</v>
      </c>
      <c r="V44" t="s">
        <v>973</v>
      </c>
      <c r="W44" t="s">
        <v>1144</v>
      </c>
    </row>
    <row r="45" spans="1:23">
      <c r="A45" t="str">
        <f>CONCATENATE(C45,E45)</f>
        <v>PTEN92822</v>
      </c>
      <c r="B45" t="b">
        <f>ISNA(VLOOKUP(A45,MasterLookup,1,FALSE))</f>
        <v>0</v>
      </c>
      <c r="C45" t="s">
        <v>98</v>
      </c>
      <c r="D45" t="s">
        <v>1145</v>
      </c>
      <c r="E45">
        <v>92822</v>
      </c>
      <c r="F45">
        <v>98729</v>
      </c>
      <c r="G45" t="s">
        <v>1145</v>
      </c>
      <c r="H45" t="s">
        <v>935</v>
      </c>
      <c r="I45" t="s">
        <v>1146</v>
      </c>
      <c r="J45" t="s">
        <v>1147</v>
      </c>
      <c r="K45" t="s">
        <v>1148</v>
      </c>
      <c r="M45" t="s">
        <v>95</v>
      </c>
      <c r="N45" t="s">
        <v>969</v>
      </c>
      <c r="O45" t="s">
        <v>970</v>
      </c>
      <c r="P45" t="s">
        <v>24</v>
      </c>
      <c r="Q45" s="4">
        <v>43196</v>
      </c>
      <c r="R45" t="s">
        <v>971</v>
      </c>
      <c r="S45" s="4">
        <v>43437</v>
      </c>
      <c r="T45" t="s">
        <v>98</v>
      </c>
      <c r="U45" t="s">
        <v>991</v>
      </c>
      <c r="V45" t="s">
        <v>973</v>
      </c>
      <c r="W45" t="s">
        <v>1144</v>
      </c>
    </row>
    <row r="46" spans="1:23">
      <c r="A46" t="str">
        <f>CONCATENATE(C46,E46)</f>
        <v>PTEN7814</v>
      </c>
      <c r="B46" t="b">
        <f>ISNA(VLOOKUP(A46,MasterLookup,1,FALSE))</f>
        <v>0</v>
      </c>
      <c r="C46" t="s">
        <v>98</v>
      </c>
      <c r="D46" t="s">
        <v>1149</v>
      </c>
      <c r="E46">
        <v>7814</v>
      </c>
      <c r="F46">
        <v>22853</v>
      </c>
      <c r="G46" t="s">
        <v>1149</v>
      </c>
      <c r="H46" t="s">
        <v>918</v>
      </c>
      <c r="I46" t="s">
        <v>1150</v>
      </c>
      <c r="J46" t="s">
        <v>1151</v>
      </c>
      <c r="K46" t="s">
        <v>1152</v>
      </c>
      <c r="M46" t="s">
        <v>95</v>
      </c>
      <c r="N46" t="s">
        <v>969</v>
      </c>
      <c r="O46" t="s">
        <v>970</v>
      </c>
      <c r="P46" t="s">
        <v>3</v>
      </c>
      <c r="Q46" s="4">
        <v>43403</v>
      </c>
      <c r="R46" t="s">
        <v>971</v>
      </c>
      <c r="S46" s="4">
        <v>43437</v>
      </c>
      <c r="T46" t="s">
        <v>98</v>
      </c>
      <c r="U46" t="s">
        <v>972</v>
      </c>
      <c r="V46" t="s">
        <v>973</v>
      </c>
      <c r="W46" t="s">
        <v>1144</v>
      </c>
    </row>
    <row r="47" spans="1:23">
      <c r="A47" t="str">
        <f>CONCATENATE(C47,E47)</f>
        <v>PTEN7824</v>
      </c>
      <c r="B47" t="b">
        <f>ISNA(VLOOKUP(A47,MasterLookup,1,FALSE))</f>
        <v>0</v>
      </c>
      <c r="C47" t="s">
        <v>98</v>
      </c>
      <c r="D47" t="s">
        <v>1153</v>
      </c>
      <c r="E47">
        <v>7824</v>
      </c>
      <c r="F47">
        <v>22863</v>
      </c>
      <c r="G47" t="s">
        <v>1153</v>
      </c>
      <c r="H47" t="s">
        <v>926</v>
      </c>
      <c r="I47" t="s">
        <v>1154</v>
      </c>
      <c r="J47" t="s">
        <v>1155</v>
      </c>
      <c r="K47" t="s">
        <v>1156</v>
      </c>
      <c r="M47" t="s">
        <v>95</v>
      </c>
      <c r="N47" t="s">
        <v>969</v>
      </c>
      <c r="O47" t="s">
        <v>970</v>
      </c>
      <c r="P47" t="s">
        <v>3</v>
      </c>
      <c r="Q47" s="4">
        <v>43196</v>
      </c>
      <c r="R47" t="s">
        <v>971</v>
      </c>
      <c r="S47" s="4">
        <v>43437</v>
      </c>
      <c r="T47" t="s">
        <v>98</v>
      </c>
      <c r="U47" t="s">
        <v>972</v>
      </c>
      <c r="V47" t="s">
        <v>973</v>
      </c>
      <c r="W47" t="s">
        <v>1144</v>
      </c>
    </row>
    <row r="48" spans="1:23">
      <c r="A48" t="str">
        <f>CONCATENATE(C48,E48)</f>
        <v>PTEN7834</v>
      </c>
      <c r="B48" t="b">
        <f>ISNA(VLOOKUP(A48,MasterLookup,1,FALSE))</f>
        <v>0</v>
      </c>
      <c r="C48" t="s">
        <v>98</v>
      </c>
      <c r="D48" t="s">
        <v>1157</v>
      </c>
      <c r="E48">
        <v>7834</v>
      </c>
      <c r="F48">
        <v>22873</v>
      </c>
      <c r="G48" t="s">
        <v>1157</v>
      </c>
      <c r="H48" t="s">
        <v>932</v>
      </c>
      <c r="I48" t="s">
        <v>1158</v>
      </c>
      <c r="J48" t="s">
        <v>1159</v>
      </c>
      <c r="K48" t="s">
        <v>1160</v>
      </c>
      <c r="M48" t="s">
        <v>95</v>
      </c>
      <c r="N48" t="s">
        <v>969</v>
      </c>
      <c r="O48" t="s">
        <v>970</v>
      </c>
      <c r="P48" t="s">
        <v>3</v>
      </c>
      <c r="Q48" s="4">
        <v>43196</v>
      </c>
      <c r="R48" t="s">
        <v>971</v>
      </c>
      <c r="S48" s="4">
        <v>43437</v>
      </c>
      <c r="T48" t="s">
        <v>98</v>
      </c>
      <c r="U48" t="s">
        <v>972</v>
      </c>
      <c r="V48" t="s">
        <v>973</v>
      </c>
      <c r="W48" t="s">
        <v>1144</v>
      </c>
    </row>
    <row r="49" spans="1:23">
      <c r="A49" t="str">
        <f>CONCATENATE(C49,E49)</f>
        <v>PTEN127661</v>
      </c>
      <c r="B49" t="b">
        <f>ISNA(VLOOKUP(A49,MasterLookup,1,FALSE))</f>
        <v>0</v>
      </c>
      <c r="C49" t="s">
        <v>98</v>
      </c>
      <c r="D49" t="s">
        <v>1161</v>
      </c>
      <c r="E49">
        <v>127661</v>
      </c>
      <c r="F49">
        <v>133118</v>
      </c>
      <c r="G49" t="s">
        <v>1161</v>
      </c>
      <c r="H49" t="s">
        <v>937</v>
      </c>
      <c r="I49" t="s">
        <v>1162</v>
      </c>
      <c r="J49" t="s">
        <v>1163</v>
      </c>
      <c r="K49" t="s">
        <v>1164</v>
      </c>
      <c r="M49" t="s">
        <v>95</v>
      </c>
      <c r="N49" t="s">
        <v>969</v>
      </c>
      <c r="O49" t="s">
        <v>970</v>
      </c>
      <c r="P49" t="s">
        <v>212</v>
      </c>
      <c r="Q49" s="4">
        <v>43196</v>
      </c>
      <c r="R49" t="s">
        <v>971</v>
      </c>
      <c r="S49" s="4">
        <v>43437</v>
      </c>
      <c r="T49" t="s">
        <v>98</v>
      </c>
      <c r="U49" t="s">
        <v>991</v>
      </c>
      <c r="V49" t="s">
        <v>973</v>
      </c>
    </row>
    <row r="50" spans="1:23">
      <c r="A50" t="str">
        <f>CONCATENATE(C50,E50)</f>
        <v>PTEN7823</v>
      </c>
      <c r="B50" t="b">
        <f>ISNA(VLOOKUP(A50,MasterLookup,1,FALSE))</f>
        <v>0</v>
      </c>
      <c r="C50" t="s">
        <v>98</v>
      </c>
      <c r="D50" t="s">
        <v>1165</v>
      </c>
      <c r="E50">
        <v>7823</v>
      </c>
      <c r="F50">
        <v>22862</v>
      </c>
      <c r="G50" t="s">
        <v>1165</v>
      </c>
      <c r="H50" t="s">
        <v>924</v>
      </c>
      <c r="I50" t="s">
        <v>1166</v>
      </c>
      <c r="J50" t="s">
        <v>1167</v>
      </c>
      <c r="K50" t="s">
        <v>1168</v>
      </c>
      <c r="M50" t="s">
        <v>95</v>
      </c>
      <c r="N50" t="s">
        <v>969</v>
      </c>
      <c r="O50" t="s">
        <v>970</v>
      </c>
      <c r="P50" t="s">
        <v>3</v>
      </c>
      <c r="Q50" s="4">
        <v>43196</v>
      </c>
      <c r="R50" t="s">
        <v>971</v>
      </c>
      <c r="S50" s="4">
        <v>43437</v>
      </c>
      <c r="T50" t="s">
        <v>98</v>
      </c>
      <c r="U50" t="s">
        <v>972</v>
      </c>
      <c r="V50" t="s">
        <v>973</v>
      </c>
      <c r="W50" t="s">
        <v>1144</v>
      </c>
    </row>
    <row r="51" spans="1:23">
      <c r="A51" t="str">
        <f>CONCATENATE(C51,E51)</f>
        <v>PTEN142220</v>
      </c>
      <c r="B51" t="b">
        <f>ISNA(VLOOKUP(A51,MasterLookup,1,FALSE))</f>
        <v>0</v>
      </c>
      <c r="C51" t="s">
        <v>98</v>
      </c>
      <c r="D51" t="s">
        <v>1169</v>
      </c>
      <c r="E51">
        <v>142220</v>
      </c>
      <c r="F51">
        <v>151934</v>
      </c>
      <c r="G51" t="s">
        <v>1169</v>
      </c>
      <c r="H51" t="s">
        <v>941</v>
      </c>
      <c r="I51" t="s">
        <v>1170</v>
      </c>
      <c r="J51" t="s">
        <v>1171</v>
      </c>
      <c r="K51" t="s">
        <v>1172</v>
      </c>
      <c r="M51" t="s">
        <v>95</v>
      </c>
      <c r="N51" t="s">
        <v>969</v>
      </c>
      <c r="O51" t="s">
        <v>970</v>
      </c>
      <c r="P51" t="s">
        <v>24</v>
      </c>
      <c r="Q51" s="4">
        <v>43196</v>
      </c>
      <c r="R51" t="s">
        <v>971</v>
      </c>
      <c r="S51" s="4">
        <v>43437</v>
      </c>
      <c r="T51" t="s">
        <v>98</v>
      </c>
      <c r="U51" t="s">
        <v>972</v>
      </c>
      <c r="V51" t="s">
        <v>973</v>
      </c>
      <c r="W51" t="s">
        <v>1144</v>
      </c>
    </row>
    <row r="52" spans="1:23">
      <c r="A52" t="str">
        <f>CONCATENATE(C52,E52)</f>
        <v>PTEN7816</v>
      </c>
      <c r="B52" t="b">
        <f>ISNA(VLOOKUP(A52,MasterLookup,1,FALSE))</f>
        <v>0</v>
      </c>
      <c r="C52" t="s">
        <v>98</v>
      </c>
      <c r="D52" t="s">
        <v>1173</v>
      </c>
      <c r="E52">
        <v>7816</v>
      </c>
      <c r="F52">
        <v>22855</v>
      </c>
      <c r="G52" t="s">
        <v>1173</v>
      </c>
      <c r="H52" t="s">
        <v>922</v>
      </c>
      <c r="I52" t="s">
        <v>1174</v>
      </c>
      <c r="J52" t="s">
        <v>1175</v>
      </c>
      <c r="K52" t="s">
        <v>1176</v>
      </c>
      <c r="M52" t="s">
        <v>95</v>
      </c>
      <c r="N52" t="s">
        <v>969</v>
      </c>
      <c r="O52" t="s">
        <v>970</v>
      </c>
      <c r="P52" t="s">
        <v>24</v>
      </c>
      <c r="Q52" s="4">
        <v>43196</v>
      </c>
      <c r="R52" t="s">
        <v>971</v>
      </c>
      <c r="S52" s="4">
        <v>43437</v>
      </c>
      <c r="T52" t="s">
        <v>98</v>
      </c>
      <c r="U52" t="s">
        <v>972</v>
      </c>
      <c r="V52" t="s">
        <v>973</v>
      </c>
      <c r="W52" t="s">
        <v>1144</v>
      </c>
    </row>
    <row r="53" spans="1:23">
      <c r="A53" t="str">
        <f>CONCATENATE(C53,E53)</f>
        <v>PTEN7828</v>
      </c>
      <c r="B53" t="b">
        <f>ISNA(VLOOKUP(A53,MasterLookup,1,FALSE))</f>
        <v>0</v>
      </c>
      <c r="C53" t="s">
        <v>98</v>
      </c>
      <c r="D53" t="s">
        <v>1177</v>
      </c>
      <c r="E53">
        <v>7828</v>
      </c>
      <c r="F53">
        <v>22867</v>
      </c>
      <c r="G53" t="s">
        <v>1177</v>
      </c>
      <c r="H53" t="s">
        <v>928</v>
      </c>
      <c r="I53" t="s">
        <v>1178</v>
      </c>
      <c r="J53" t="s">
        <v>1179</v>
      </c>
      <c r="K53" t="s">
        <v>1180</v>
      </c>
      <c r="M53" t="s">
        <v>95</v>
      </c>
      <c r="N53" t="s">
        <v>969</v>
      </c>
      <c r="O53" t="s">
        <v>970</v>
      </c>
      <c r="P53" t="s">
        <v>3</v>
      </c>
      <c r="Q53" s="4">
        <v>43196</v>
      </c>
      <c r="R53" t="s">
        <v>971</v>
      </c>
      <c r="S53" s="4">
        <v>43437</v>
      </c>
      <c r="T53" t="s">
        <v>98</v>
      </c>
      <c r="U53" t="s">
        <v>972</v>
      </c>
      <c r="V53" t="s">
        <v>973</v>
      </c>
      <c r="W53" t="s">
        <v>1144</v>
      </c>
    </row>
    <row r="54" spans="1:23">
      <c r="A54" t="str">
        <f>CONCATENATE(C54,E54)</f>
        <v>PTEN189424</v>
      </c>
      <c r="B54" t="b">
        <f>ISNA(VLOOKUP(A54,MasterLookup,1,FALSE))</f>
        <v>0</v>
      </c>
      <c r="C54" t="s">
        <v>98</v>
      </c>
      <c r="D54" t="s">
        <v>1181</v>
      </c>
      <c r="E54">
        <v>189424</v>
      </c>
      <c r="F54">
        <v>187390</v>
      </c>
      <c r="G54" t="s">
        <v>1181</v>
      </c>
      <c r="H54" t="s">
        <v>943</v>
      </c>
      <c r="I54" t="s">
        <v>1182</v>
      </c>
      <c r="J54" t="s">
        <v>1183</v>
      </c>
      <c r="K54" t="s">
        <v>1184</v>
      </c>
      <c r="M54" t="s">
        <v>95</v>
      </c>
      <c r="N54" t="s">
        <v>969</v>
      </c>
      <c r="O54" t="s">
        <v>970</v>
      </c>
      <c r="P54" t="s">
        <v>86</v>
      </c>
      <c r="Q54" s="4">
        <v>43196</v>
      </c>
      <c r="R54" t="s">
        <v>971</v>
      </c>
      <c r="S54" s="4">
        <v>43437</v>
      </c>
      <c r="T54" t="s">
        <v>98</v>
      </c>
      <c r="U54" t="s">
        <v>972</v>
      </c>
      <c r="V54" t="s">
        <v>973</v>
      </c>
    </row>
    <row r="55" spans="1:23">
      <c r="A55" t="str">
        <f>CONCATENATE(C55,E55)</f>
        <v>PTEN7815</v>
      </c>
      <c r="B55" t="b">
        <f>ISNA(VLOOKUP(A55,MasterLookup,1,FALSE))</f>
        <v>0</v>
      </c>
      <c r="C55" t="s">
        <v>98</v>
      </c>
      <c r="D55" t="s">
        <v>1185</v>
      </c>
      <c r="E55">
        <v>7815</v>
      </c>
      <c r="F55">
        <v>22854</v>
      </c>
      <c r="G55" t="s">
        <v>1185</v>
      </c>
      <c r="H55" t="s">
        <v>920</v>
      </c>
      <c r="I55" t="s">
        <v>1186</v>
      </c>
      <c r="J55" t="s">
        <v>1187</v>
      </c>
      <c r="K55" t="s">
        <v>1188</v>
      </c>
      <c r="M55" t="s">
        <v>95</v>
      </c>
      <c r="N55" t="s">
        <v>969</v>
      </c>
      <c r="O55" t="s">
        <v>970</v>
      </c>
      <c r="P55" t="s">
        <v>24</v>
      </c>
      <c r="Q55" s="4">
        <v>43196</v>
      </c>
      <c r="R55" t="s">
        <v>971</v>
      </c>
      <c r="S55" s="4">
        <v>43437</v>
      </c>
      <c r="T55" t="s">
        <v>98</v>
      </c>
      <c r="U55" t="s">
        <v>972</v>
      </c>
      <c r="V55" t="s">
        <v>973</v>
      </c>
      <c r="W55" t="s">
        <v>1144</v>
      </c>
    </row>
    <row r="56" spans="1:23">
      <c r="A56" t="str">
        <f>CONCATENATE(C56,E56)</f>
        <v>PTEN127674</v>
      </c>
      <c r="B56" t="b">
        <f>ISNA(VLOOKUP(A56,MasterLookup,1,FALSE))</f>
        <v>0</v>
      </c>
      <c r="C56" t="s">
        <v>98</v>
      </c>
      <c r="D56" t="s">
        <v>1189</v>
      </c>
      <c r="E56">
        <v>127674</v>
      </c>
      <c r="F56">
        <v>133131</v>
      </c>
      <c r="G56" t="s">
        <v>1189</v>
      </c>
      <c r="H56" t="s">
        <v>939</v>
      </c>
      <c r="I56" t="s">
        <v>1190</v>
      </c>
      <c r="J56" t="s">
        <v>1191</v>
      </c>
      <c r="K56" t="s">
        <v>1192</v>
      </c>
      <c r="M56" t="s">
        <v>95</v>
      </c>
      <c r="N56" t="s">
        <v>969</v>
      </c>
      <c r="O56" t="s">
        <v>970</v>
      </c>
      <c r="P56" t="s">
        <v>86</v>
      </c>
      <c r="Q56" s="4">
        <v>43196</v>
      </c>
      <c r="R56" t="s">
        <v>971</v>
      </c>
      <c r="S56" s="4">
        <v>43437</v>
      </c>
      <c r="T56" t="s">
        <v>98</v>
      </c>
      <c r="U56" t="s">
        <v>991</v>
      </c>
      <c r="V56" t="s">
        <v>973</v>
      </c>
    </row>
    <row r="57" spans="1:23">
      <c r="A57" t="str">
        <f>CONCATENATE(C57,E57)</f>
        <v>&lt;add vcep abbr&gt;</v>
      </c>
      <c r="B57" t="b">
        <f>ISNA(VLOOKUP(A57,MasterLookup,1,FALSE))</f>
        <v>1</v>
      </c>
      <c r="C57" t="s">
        <v>1726</v>
      </c>
      <c r="D57" t="s">
        <v>1194</v>
      </c>
    </row>
    <row r="58" spans="1:23">
      <c r="A58" t="str">
        <f>CONCATENATE(C58,E58)</f>
        <v/>
      </c>
      <c r="B58" t="b">
        <f>ISNA(VLOOKUP(A58,MasterLookup,1,FALSE))</f>
        <v>1</v>
      </c>
    </row>
    <row r="59" spans="1:23">
      <c r="A59" t="str">
        <f>CONCATENATE(C59,E59)</f>
        <v/>
      </c>
      <c r="B59" t="b">
        <f>ISNA(VLOOKUP(A59,MasterLookup,1,FALSE))</f>
        <v>1</v>
      </c>
    </row>
    <row r="60" spans="1:23">
      <c r="A60" t="str">
        <f>CONCATENATE(C60,E60)</f>
        <v/>
      </c>
      <c r="B60" t="b">
        <f>ISNA(VLOOKUP(A60,MasterLookup,1,FALSE))</f>
        <v>1</v>
      </c>
    </row>
    <row r="61" spans="1:23">
      <c r="A61" t="str">
        <f>CONCATENATE(C61,E61)</f>
        <v/>
      </c>
      <c r="B61" t="b">
        <f>ISNA(VLOOKUP(A61,MasterLookup,1,FALSE))</f>
        <v>1</v>
      </c>
    </row>
    <row r="62" spans="1:23">
      <c r="A62" t="str">
        <f>CONCATENATE(C62,E62)</f>
        <v/>
      </c>
      <c r="B62" t="b">
        <f>ISNA(VLOOKUP(A62,MasterLookup,1,FALSE))</f>
        <v>1</v>
      </c>
    </row>
    <row r="63" spans="1:23">
      <c r="A63" t="str">
        <f>CONCATENATE(C63,E63)</f>
        <v/>
      </c>
      <c r="B63" t="b">
        <f>ISNA(VLOOKUP(A63,MasterLookup,1,FALSE))</f>
        <v>1</v>
      </c>
    </row>
    <row r="64" spans="1:23">
      <c r="A64" t="str">
        <f>CONCATENATE(C64,E64)</f>
        <v/>
      </c>
      <c r="B64" t="b">
        <f>ISNA(VLOOKUP(A64,MasterLookup,1,FALSE))</f>
        <v>1</v>
      </c>
    </row>
    <row r="65" spans="1:2">
      <c r="A65" t="str">
        <f>CONCATENATE(C65,E65)</f>
        <v/>
      </c>
      <c r="B65" t="b">
        <f>ISNA(VLOOKUP(A65,MasterLookup,1,FALSE))</f>
        <v>1</v>
      </c>
    </row>
    <row r="66" spans="1:2">
      <c r="A66" t="str">
        <f>CONCATENATE(C66,E66)</f>
        <v/>
      </c>
      <c r="B66" t="b">
        <f>ISNA(VLOOKUP(A66,MasterLookup,1,FALSE))</f>
        <v>1</v>
      </c>
    </row>
    <row r="67" spans="1:2">
      <c r="A67" t="str">
        <f>CONCATENATE(C67,E67)</f>
        <v/>
      </c>
      <c r="B67" t="b">
        <f>ISNA(VLOOKUP(A67,MasterLookup,1,FALSE))</f>
        <v>1</v>
      </c>
    </row>
    <row r="68" spans="1:2">
      <c r="A68" t="str">
        <f>CONCATENATE(C68,E68)</f>
        <v/>
      </c>
      <c r="B68" t="b">
        <f>ISNA(VLOOKUP(A68,MasterLookup,1,FALSE))</f>
        <v>1</v>
      </c>
    </row>
    <row r="69" spans="1:2">
      <c r="A69" t="str">
        <f>CONCATENATE(C69,E69)</f>
        <v/>
      </c>
      <c r="B69" t="b">
        <f>ISNA(VLOOKUP(A69,MasterLookup,1,FALSE))</f>
        <v>1</v>
      </c>
    </row>
    <row r="70" spans="1:2">
      <c r="A70" t="str">
        <f>CONCATENATE(C70,E70)</f>
        <v/>
      </c>
      <c r="B70" t="b">
        <f>ISNA(VLOOKUP(A70,MasterLookup,1,FALSE))</f>
        <v>1</v>
      </c>
    </row>
    <row r="71" spans="1:2">
      <c r="A71" t="str">
        <f>CONCATENATE(C71,E71)</f>
        <v/>
      </c>
      <c r="B71" t="b">
        <f>ISNA(VLOOKUP(A71,MasterLookup,1,FALSE))</f>
        <v>1</v>
      </c>
    </row>
    <row r="72" spans="1:2">
      <c r="A72" t="str">
        <f>CONCATENATE(C72,E72)</f>
        <v/>
      </c>
      <c r="B72" t="b">
        <f>ISNA(VLOOKUP(A72,MasterLookup,1,FALSE))</f>
        <v>1</v>
      </c>
    </row>
    <row r="73" spans="1:2">
      <c r="A73" t="str">
        <f>CONCATENATE(C73,E73)</f>
        <v/>
      </c>
      <c r="B73" t="b">
        <f>ISNA(VLOOKUP(A73,MasterLookup,1,FALSE))</f>
        <v>1</v>
      </c>
    </row>
    <row r="74" spans="1:2">
      <c r="A74" t="str">
        <f>CONCATENATE(C74,E74)</f>
        <v/>
      </c>
      <c r="B74" t="b">
        <f>ISNA(VLOOKUP(A74,MasterLookup,1,FALSE))</f>
        <v>1</v>
      </c>
    </row>
    <row r="75" spans="1:2">
      <c r="A75" t="str">
        <f>CONCATENATE(C75,E75)</f>
        <v/>
      </c>
      <c r="B75" t="b">
        <f>ISNA(VLOOKUP(A75,MasterLookup,1,FALSE))</f>
        <v>1</v>
      </c>
    </row>
    <row r="76" spans="1:2">
      <c r="A76" t="str">
        <f>CONCATENATE(C76,E76)</f>
        <v/>
      </c>
      <c r="B76" t="b">
        <f>ISNA(VLOOKUP(A76,MasterLookup,1,FALSE))</f>
        <v>1</v>
      </c>
    </row>
    <row r="77" spans="1:2">
      <c r="A77" t="str">
        <f>CONCATENATE(C77,E77)</f>
        <v/>
      </c>
      <c r="B77" t="b">
        <f>ISNA(VLOOKUP(A77,MasterLookup,1,FALSE))</f>
        <v>1</v>
      </c>
    </row>
    <row r="78" spans="1:2">
      <c r="A78" t="str">
        <f>CONCATENATE(C78,E78)</f>
        <v/>
      </c>
      <c r="B78" t="b">
        <f>ISNA(VLOOKUP(A78,MasterLookup,1,FALSE))</f>
        <v>1</v>
      </c>
    </row>
    <row r="79" spans="1:2">
      <c r="A79" t="str">
        <f>CONCATENATE(C79,E79)</f>
        <v/>
      </c>
      <c r="B79" t="b">
        <f>ISNA(VLOOKUP(A79,MasterLookup,1,FALSE))</f>
        <v>1</v>
      </c>
    </row>
    <row r="80" spans="1:2">
      <c r="A80" t="str">
        <f>CONCATENATE(C80,E80)</f>
        <v/>
      </c>
      <c r="B80" t="b">
        <f>ISNA(VLOOKUP(A80,MasterLookup,1,FALSE))</f>
        <v>1</v>
      </c>
    </row>
    <row r="81" spans="1:2">
      <c r="A81" t="str">
        <f>CONCATENATE(C81,E81)</f>
        <v/>
      </c>
      <c r="B81" t="b">
        <f>ISNA(VLOOKUP(A81,MasterLookup,1,FALSE))</f>
        <v>1</v>
      </c>
    </row>
    <row r="82" spans="1:2">
      <c r="A82" t="str">
        <f>CONCATENATE(C82,E82)</f>
        <v/>
      </c>
      <c r="B82" t="b">
        <f>ISNA(VLOOKUP(A82,MasterLookup,1,FALSE))</f>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18E49-7B16-DB40-95DB-CE0BC28A2F37}">
  <sheetPr codeName="Sheet1"/>
  <dimension ref="A1:M515"/>
  <sheetViews>
    <sheetView workbookViewId="0">
      <selection activeCell="G34" sqref="G34"/>
    </sheetView>
  </sheetViews>
  <sheetFormatPr baseColWidth="10" defaultRowHeight="16"/>
  <cols>
    <col min="1" max="1" width="14.6640625" style="2" customWidth="1"/>
    <col min="4" max="4" width="19.5" customWidth="1"/>
    <col min="5" max="5" width="20.5" customWidth="1"/>
    <col min="6" max="6" width="24" customWidth="1"/>
    <col min="7" max="7" width="26.5" customWidth="1"/>
    <col min="10" max="10" width="9.33203125" bestFit="1" customWidth="1"/>
    <col min="11" max="11" width="31.1640625" customWidth="1"/>
  </cols>
  <sheetData>
    <row r="1" spans="1:13">
      <c r="A1" s="2" t="s">
        <v>897</v>
      </c>
      <c r="B1" t="s">
        <v>898</v>
      </c>
      <c r="C1" t="s">
        <v>899</v>
      </c>
      <c r="D1" t="s">
        <v>900</v>
      </c>
      <c r="E1" t="s">
        <v>901</v>
      </c>
      <c r="F1" t="s">
        <v>902</v>
      </c>
      <c r="G1" t="s">
        <v>903</v>
      </c>
      <c r="H1" t="s">
        <v>904</v>
      </c>
      <c r="I1" t="s">
        <v>905</v>
      </c>
      <c r="J1" t="s">
        <v>906</v>
      </c>
      <c r="K1" t="s">
        <v>907</v>
      </c>
      <c r="L1" t="s">
        <v>908</v>
      </c>
      <c r="M1" t="s">
        <v>909</v>
      </c>
    </row>
    <row r="2" spans="1:13">
      <c r="A2" s="2">
        <v>2353</v>
      </c>
      <c r="B2" t="s">
        <v>3</v>
      </c>
      <c r="C2" s="1">
        <v>43368</v>
      </c>
      <c r="D2" t="s">
        <v>66</v>
      </c>
      <c r="E2" t="s">
        <v>67</v>
      </c>
      <c r="F2" t="s">
        <v>68</v>
      </c>
      <c r="G2" t="s">
        <v>0</v>
      </c>
      <c r="H2" t="s">
        <v>1</v>
      </c>
      <c r="I2" t="s">
        <v>2</v>
      </c>
      <c r="J2" t="s">
        <v>910</v>
      </c>
      <c r="K2" t="s">
        <v>69</v>
      </c>
      <c r="L2" t="s">
        <v>70</v>
      </c>
      <c r="M2" t="s">
        <v>9</v>
      </c>
    </row>
    <row r="3" spans="1:13">
      <c r="A3" s="2">
        <v>4835</v>
      </c>
      <c r="B3" t="s">
        <v>3</v>
      </c>
      <c r="C3" s="1">
        <v>43362</v>
      </c>
      <c r="D3" t="s">
        <v>71</v>
      </c>
      <c r="E3" t="s">
        <v>72</v>
      </c>
      <c r="F3" t="s">
        <v>73</v>
      </c>
      <c r="G3" t="s">
        <v>0</v>
      </c>
      <c r="H3" t="s">
        <v>1</v>
      </c>
      <c r="I3" t="s">
        <v>2</v>
      </c>
      <c r="J3" t="s">
        <v>910</v>
      </c>
      <c r="K3" t="s">
        <v>74</v>
      </c>
      <c r="L3" t="s">
        <v>75</v>
      </c>
      <c r="M3" t="s">
        <v>9</v>
      </c>
    </row>
    <row r="4" spans="1:13">
      <c r="A4" s="2">
        <v>4840</v>
      </c>
      <c r="B4" t="s">
        <v>3</v>
      </c>
      <c r="C4" s="1">
        <v>43363</v>
      </c>
      <c r="D4" t="s">
        <v>76</v>
      </c>
      <c r="E4" t="s">
        <v>72</v>
      </c>
      <c r="F4" t="s">
        <v>73</v>
      </c>
      <c r="G4" t="s">
        <v>0</v>
      </c>
      <c r="H4" t="s">
        <v>1</v>
      </c>
      <c r="I4" t="s">
        <v>2</v>
      </c>
      <c r="J4" t="s">
        <v>910</v>
      </c>
      <c r="K4" t="s">
        <v>77</v>
      </c>
      <c r="L4" t="s">
        <v>75</v>
      </c>
      <c r="M4" t="s">
        <v>9</v>
      </c>
    </row>
    <row r="5" spans="1:13">
      <c r="A5" s="2">
        <v>6241</v>
      </c>
      <c r="B5" t="s">
        <v>3</v>
      </c>
      <c r="C5" s="1">
        <v>43354</v>
      </c>
      <c r="D5" t="s">
        <v>78</v>
      </c>
      <c r="E5" t="s">
        <v>79</v>
      </c>
      <c r="F5" t="s">
        <v>80</v>
      </c>
      <c r="G5" t="s">
        <v>0</v>
      </c>
      <c r="H5" t="s">
        <v>1</v>
      </c>
      <c r="I5" t="s">
        <v>2</v>
      </c>
      <c r="J5" t="s">
        <v>910</v>
      </c>
      <c r="K5" t="s">
        <v>81</v>
      </c>
      <c r="L5" t="s">
        <v>82</v>
      </c>
      <c r="M5" t="s">
        <v>9</v>
      </c>
    </row>
    <row r="6" spans="1:13">
      <c r="A6" s="2">
        <v>6611</v>
      </c>
      <c r="B6" t="s">
        <v>3</v>
      </c>
      <c r="C6" s="1">
        <v>43362</v>
      </c>
      <c r="D6" t="s">
        <v>83</v>
      </c>
      <c r="E6" t="s">
        <v>79</v>
      </c>
      <c r="F6" t="s">
        <v>80</v>
      </c>
      <c r="G6" t="s">
        <v>0</v>
      </c>
      <c r="H6" t="s">
        <v>1</v>
      </c>
      <c r="I6" t="s">
        <v>2</v>
      </c>
      <c r="J6" t="s">
        <v>910</v>
      </c>
      <c r="K6" t="s">
        <v>84</v>
      </c>
      <c r="L6" t="s">
        <v>85</v>
      </c>
      <c r="M6" t="s">
        <v>9</v>
      </c>
    </row>
    <row r="7" spans="1:13">
      <c r="A7" s="2">
        <v>6613</v>
      </c>
      <c r="B7" t="s">
        <v>86</v>
      </c>
      <c r="C7" s="1">
        <v>43360</v>
      </c>
      <c r="D7" t="s">
        <v>87</v>
      </c>
      <c r="E7" t="s">
        <v>79</v>
      </c>
      <c r="F7" t="s">
        <v>80</v>
      </c>
      <c r="G7" t="s">
        <v>0</v>
      </c>
      <c r="H7" t="s">
        <v>1</v>
      </c>
      <c r="I7" t="s">
        <v>2</v>
      </c>
      <c r="J7" t="s">
        <v>910</v>
      </c>
      <c r="K7" t="s">
        <v>88</v>
      </c>
      <c r="L7" t="s">
        <v>85</v>
      </c>
      <c r="M7" t="s">
        <v>9</v>
      </c>
    </row>
    <row r="8" spans="1:13">
      <c r="A8" s="2">
        <v>17002</v>
      </c>
      <c r="B8" t="s">
        <v>3</v>
      </c>
      <c r="C8" s="1">
        <v>43360</v>
      </c>
      <c r="D8" t="s">
        <v>201</v>
      </c>
      <c r="E8" t="s">
        <v>79</v>
      </c>
      <c r="F8" t="s">
        <v>80</v>
      </c>
      <c r="G8" t="s">
        <v>0</v>
      </c>
      <c r="H8" t="s">
        <v>1</v>
      </c>
      <c r="I8" t="s">
        <v>2</v>
      </c>
      <c r="J8" t="s">
        <v>910</v>
      </c>
      <c r="K8" t="s">
        <v>202</v>
      </c>
      <c r="L8" t="s">
        <v>203</v>
      </c>
      <c r="M8" t="s">
        <v>9</v>
      </c>
    </row>
    <row r="9" spans="1:13">
      <c r="A9" s="2">
        <v>17004</v>
      </c>
      <c r="B9" t="s">
        <v>3</v>
      </c>
      <c r="C9" s="1">
        <v>43363</v>
      </c>
      <c r="D9" t="s">
        <v>204</v>
      </c>
      <c r="E9" t="s">
        <v>79</v>
      </c>
      <c r="F9" t="s">
        <v>80</v>
      </c>
      <c r="G9" t="s">
        <v>0</v>
      </c>
      <c r="H9" t="s">
        <v>1</v>
      </c>
      <c r="I9" t="s">
        <v>2</v>
      </c>
      <c r="J9" t="s">
        <v>910</v>
      </c>
      <c r="K9" t="s">
        <v>205</v>
      </c>
      <c r="L9" t="s">
        <v>203</v>
      </c>
      <c r="M9" t="s">
        <v>9</v>
      </c>
    </row>
    <row r="10" spans="1:13">
      <c r="A10" s="2">
        <v>17010</v>
      </c>
      <c r="B10" t="s">
        <v>3</v>
      </c>
      <c r="C10" s="1">
        <v>43362</v>
      </c>
      <c r="D10" t="s">
        <v>206</v>
      </c>
      <c r="E10" t="s">
        <v>79</v>
      </c>
      <c r="F10" t="s">
        <v>80</v>
      </c>
      <c r="G10" t="s">
        <v>0</v>
      </c>
      <c r="H10" t="s">
        <v>1</v>
      </c>
      <c r="I10" t="s">
        <v>2</v>
      </c>
      <c r="J10" t="s">
        <v>910</v>
      </c>
      <c r="K10" t="s">
        <v>207</v>
      </c>
      <c r="L10" t="s">
        <v>203</v>
      </c>
      <c r="M10" t="s">
        <v>9</v>
      </c>
    </row>
    <row r="11" spans="1:13">
      <c r="A11" s="2">
        <v>17014</v>
      </c>
      <c r="B11" t="s">
        <v>3</v>
      </c>
      <c r="C11" s="1">
        <v>43357</v>
      </c>
      <c r="D11" t="s">
        <v>208</v>
      </c>
      <c r="E11" t="s">
        <v>79</v>
      </c>
      <c r="F11" t="s">
        <v>80</v>
      </c>
      <c r="G11" t="s">
        <v>0</v>
      </c>
      <c r="H11" t="s">
        <v>1</v>
      </c>
      <c r="I11" t="s">
        <v>2</v>
      </c>
      <c r="J11" t="s">
        <v>910</v>
      </c>
      <c r="K11" t="s">
        <v>209</v>
      </c>
      <c r="L11" t="s">
        <v>203</v>
      </c>
      <c r="M11" t="s">
        <v>9</v>
      </c>
    </row>
    <row r="12" spans="1:13">
      <c r="A12" s="2">
        <v>43134</v>
      </c>
      <c r="B12" t="s">
        <v>86</v>
      </c>
      <c r="C12" s="1">
        <v>43360</v>
      </c>
      <c r="D12" t="s">
        <v>473</v>
      </c>
      <c r="E12" t="s">
        <v>79</v>
      </c>
      <c r="F12" t="s">
        <v>80</v>
      </c>
      <c r="G12" t="s">
        <v>0</v>
      </c>
      <c r="H12" t="s">
        <v>1</v>
      </c>
      <c r="I12" t="s">
        <v>2</v>
      </c>
      <c r="J12" t="s">
        <v>910</v>
      </c>
      <c r="K12" t="s">
        <v>474</v>
      </c>
      <c r="L12" t="s">
        <v>475</v>
      </c>
      <c r="M12" t="s">
        <v>9</v>
      </c>
    </row>
    <row r="13" spans="1:13">
      <c r="A13" s="2">
        <v>43201</v>
      </c>
      <c r="B13" t="s">
        <v>65</v>
      </c>
      <c r="C13" s="1">
        <v>43371</v>
      </c>
      <c r="D13" t="s">
        <v>476</v>
      </c>
      <c r="E13" t="s">
        <v>79</v>
      </c>
      <c r="F13" t="s">
        <v>80</v>
      </c>
      <c r="G13" t="s">
        <v>0</v>
      </c>
      <c r="H13" t="s">
        <v>1</v>
      </c>
      <c r="I13" t="s">
        <v>2</v>
      </c>
      <c r="J13" t="s">
        <v>910</v>
      </c>
      <c r="K13" t="s">
        <v>477</v>
      </c>
      <c r="L13" t="s">
        <v>475</v>
      </c>
      <c r="M13" t="s">
        <v>9</v>
      </c>
    </row>
    <row r="14" spans="1:13">
      <c r="A14" s="2">
        <v>43207</v>
      </c>
      <c r="B14" t="s">
        <v>65</v>
      </c>
      <c r="C14" s="1">
        <v>43371</v>
      </c>
      <c r="D14" t="s">
        <v>478</v>
      </c>
      <c r="E14" t="s">
        <v>79</v>
      </c>
      <c r="F14" t="s">
        <v>80</v>
      </c>
      <c r="G14" t="s">
        <v>0</v>
      </c>
      <c r="H14" t="s">
        <v>1</v>
      </c>
      <c r="I14" t="s">
        <v>2</v>
      </c>
      <c r="J14" t="s">
        <v>910</v>
      </c>
      <c r="K14" t="s">
        <v>479</v>
      </c>
      <c r="L14" t="s">
        <v>475</v>
      </c>
      <c r="M14" t="s">
        <v>9</v>
      </c>
    </row>
    <row r="15" spans="1:13">
      <c r="A15" s="2">
        <v>43498</v>
      </c>
      <c r="B15" t="s">
        <v>3</v>
      </c>
      <c r="C15" s="1">
        <v>43360</v>
      </c>
      <c r="D15" t="s">
        <v>480</v>
      </c>
      <c r="E15" t="s">
        <v>72</v>
      </c>
      <c r="F15" t="s">
        <v>73</v>
      </c>
      <c r="G15" t="s">
        <v>0</v>
      </c>
      <c r="H15" t="s">
        <v>1</v>
      </c>
      <c r="I15" t="s">
        <v>2</v>
      </c>
      <c r="J15" t="s">
        <v>910</v>
      </c>
      <c r="K15" t="s">
        <v>481</v>
      </c>
      <c r="L15" t="s">
        <v>75</v>
      </c>
      <c r="M15" t="s">
        <v>9</v>
      </c>
    </row>
    <row r="16" spans="1:13">
      <c r="A16" s="2">
        <v>43507</v>
      </c>
      <c r="B16" t="s">
        <v>65</v>
      </c>
      <c r="C16" s="1">
        <v>43371</v>
      </c>
      <c r="D16" t="s">
        <v>482</v>
      </c>
      <c r="E16" t="s">
        <v>72</v>
      </c>
      <c r="F16" t="s">
        <v>73</v>
      </c>
      <c r="G16" t="s">
        <v>0</v>
      </c>
      <c r="H16" t="s">
        <v>1</v>
      </c>
      <c r="I16" t="s">
        <v>2</v>
      </c>
      <c r="J16" t="s">
        <v>910</v>
      </c>
      <c r="K16" t="s">
        <v>483</v>
      </c>
      <c r="L16" t="s">
        <v>75</v>
      </c>
      <c r="M16" t="s">
        <v>9</v>
      </c>
    </row>
    <row r="17" spans="1:13">
      <c r="A17" s="2">
        <v>43546</v>
      </c>
      <c r="B17" t="s">
        <v>86</v>
      </c>
      <c r="C17" s="1">
        <v>43371</v>
      </c>
      <c r="D17" t="s">
        <v>484</v>
      </c>
      <c r="E17" t="s">
        <v>72</v>
      </c>
      <c r="F17" t="s">
        <v>73</v>
      </c>
      <c r="G17" t="s">
        <v>0</v>
      </c>
      <c r="H17" t="s">
        <v>1</v>
      </c>
      <c r="I17" t="s">
        <v>2</v>
      </c>
      <c r="J17" t="s">
        <v>910</v>
      </c>
      <c r="K17" t="s">
        <v>485</v>
      </c>
      <c r="L17" t="s">
        <v>75</v>
      </c>
      <c r="M17" t="s">
        <v>9</v>
      </c>
    </row>
    <row r="18" spans="1:13">
      <c r="A18" s="2">
        <v>43555</v>
      </c>
      <c r="B18" t="s">
        <v>24</v>
      </c>
      <c r="C18" s="1">
        <v>43369</v>
      </c>
      <c r="D18" t="s">
        <v>486</v>
      </c>
      <c r="E18" t="s">
        <v>72</v>
      </c>
      <c r="F18" t="s">
        <v>73</v>
      </c>
      <c r="G18" t="s">
        <v>0</v>
      </c>
      <c r="H18" t="s">
        <v>1</v>
      </c>
      <c r="I18" t="s">
        <v>2</v>
      </c>
      <c r="J18" t="s">
        <v>910</v>
      </c>
      <c r="K18" t="s">
        <v>487</v>
      </c>
      <c r="L18" t="s">
        <v>75</v>
      </c>
      <c r="M18" t="s">
        <v>9</v>
      </c>
    </row>
    <row r="19" spans="1:13">
      <c r="A19" s="2">
        <v>43560</v>
      </c>
      <c r="B19" t="s">
        <v>65</v>
      </c>
      <c r="C19" s="1">
        <v>43371</v>
      </c>
      <c r="D19" t="s">
        <v>488</v>
      </c>
      <c r="E19" t="s">
        <v>72</v>
      </c>
      <c r="F19" t="s">
        <v>73</v>
      </c>
      <c r="G19" t="s">
        <v>0</v>
      </c>
      <c r="H19" t="s">
        <v>1</v>
      </c>
      <c r="I19" t="s">
        <v>2</v>
      </c>
      <c r="J19" t="s">
        <v>910</v>
      </c>
      <c r="K19" t="s">
        <v>489</v>
      </c>
      <c r="L19" t="s">
        <v>75</v>
      </c>
      <c r="M19" t="s">
        <v>9</v>
      </c>
    </row>
    <row r="20" spans="1:13">
      <c r="A20" s="2">
        <v>43565</v>
      </c>
      <c r="B20" t="s">
        <v>24</v>
      </c>
      <c r="C20" s="1">
        <v>43353</v>
      </c>
      <c r="D20" t="s">
        <v>490</v>
      </c>
      <c r="E20" t="s">
        <v>72</v>
      </c>
      <c r="F20" t="s">
        <v>73</v>
      </c>
      <c r="G20" t="s">
        <v>0</v>
      </c>
      <c r="H20" t="s">
        <v>1</v>
      </c>
      <c r="I20" t="s">
        <v>2</v>
      </c>
      <c r="J20" t="s">
        <v>910</v>
      </c>
      <c r="K20" t="s">
        <v>491</v>
      </c>
      <c r="L20" t="s">
        <v>75</v>
      </c>
      <c r="M20" t="s">
        <v>9</v>
      </c>
    </row>
    <row r="21" spans="1:13">
      <c r="A21" s="2">
        <v>44740</v>
      </c>
      <c r="B21" t="s">
        <v>24</v>
      </c>
      <c r="C21" s="1">
        <v>43354</v>
      </c>
      <c r="D21" t="s">
        <v>502</v>
      </c>
      <c r="E21" t="s">
        <v>79</v>
      </c>
      <c r="F21" t="s">
        <v>80</v>
      </c>
      <c r="G21" t="s">
        <v>0</v>
      </c>
      <c r="H21" t="s">
        <v>1</v>
      </c>
      <c r="I21" t="s">
        <v>2</v>
      </c>
      <c r="J21" t="s">
        <v>910</v>
      </c>
      <c r="K21" t="s">
        <v>503</v>
      </c>
      <c r="L21" t="s">
        <v>203</v>
      </c>
      <c r="M21" t="s">
        <v>9</v>
      </c>
    </row>
    <row r="22" spans="1:13">
      <c r="A22" s="2">
        <v>45163</v>
      </c>
      <c r="B22" t="s">
        <v>65</v>
      </c>
      <c r="C22" s="1">
        <v>43363</v>
      </c>
      <c r="D22" t="s">
        <v>515</v>
      </c>
      <c r="E22" t="s">
        <v>79</v>
      </c>
      <c r="F22" t="s">
        <v>80</v>
      </c>
      <c r="G22" t="s">
        <v>0</v>
      </c>
      <c r="H22" t="s">
        <v>1</v>
      </c>
      <c r="I22" t="s">
        <v>2</v>
      </c>
      <c r="J22" t="s">
        <v>910</v>
      </c>
      <c r="K22" t="s">
        <v>516</v>
      </c>
      <c r="L22" t="s">
        <v>517</v>
      </c>
      <c r="M22" t="s">
        <v>9</v>
      </c>
    </row>
    <row r="23" spans="1:13">
      <c r="A23" s="2">
        <v>45314</v>
      </c>
      <c r="B23" t="s">
        <v>65</v>
      </c>
      <c r="C23" s="1">
        <v>43371</v>
      </c>
      <c r="D23" t="s">
        <v>520</v>
      </c>
      <c r="E23" t="s">
        <v>79</v>
      </c>
      <c r="F23" t="s">
        <v>80</v>
      </c>
      <c r="G23" t="s">
        <v>0</v>
      </c>
      <c r="H23" t="s">
        <v>1</v>
      </c>
      <c r="I23" t="s">
        <v>2</v>
      </c>
      <c r="J23" t="s">
        <v>910</v>
      </c>
      <c r="K23" t="s">
        <v>521</v>
      </c>
      <c r="L23" t="s">
        <v>522</v>
      </c>
      <c r="M23" t="s">
        <v>9</v>
      </c>
    </row>
    <row r="24" spans="1:13">
      <c r="A24" s="2">
        <v>48347</v>
      </c>
      <c r="B24" t="s">
        <v>3</v>
      </c>
      <c r="C24" s="1">
        <v>43357</v>
      </c>
      <c r="D24" t="s">
        <v>539</v>
      </c>
      <c r="E24" t="s">
        <v>67</v>
      </c>
      <c r="F24" t="s">
        <v>68</v>
      </c>
      <c r="G24" t="s">
        <v>0</v>
      </c>
      <c r="H24" t="s">
        <v>1</v>
      </c>
      <c r="I24" t="s">
        <v>2</v>
      </c>
      <c r="J24" t="s">
        <v>910</v>
      </c>
      <c r="K24" t="s">
        <v>540</v>
      </c>
      <c r="L24" t="s">
        <v>70</v>
      </c>
      <c r="M24" t="s">
        <v>9</v>
      </c>
    </row>
    <row r="25" spans="1:13">
      <c r="A25" s="2">
        <v>48459</v>
      </c>
      <c r="B25" t="s">
        <v>65</v>
      </c>
      <c r="C25" s="1">
        <v>43357</v>
      </c>
      <c r="D25" t="s">
        <v>541</v>
      </c>
      <c r="E25" t="s">
        <v>67</v>
      </c>
      <c r="F25" t="s">
        <v>68</v>
      </c>
      <c r="G25" t="s">
        <v>0</v>
      </c>
      <c r="H25" t="s">
        <v>1</v>
      </c>
      <c r="I25" t="s">
        <v>2</v>
      </c>
      <c r="J25" t="s">
        <v>910</v>
      </c>
      <c r="K25" t="s">
        <v>542</v>
      </c>
      <c r="L25" t="s">
        <v>70</v>
      </c>
      <c r="M25" t="s">
        <v>9</v>
      </c>
    </row>
    <row r="26" spans="1:13">
      <c r="A26" s="2">
        <v>48468</v>
      </c>
      <c r="B26" t="s">
        <v>65</v>
      </c>
      <c r="C26" s="1">
        <v>43360</v>
      </c>
      <c r="D26" t="s">
        <v>543</v>
      </c>
      <c r="E26" t="s">
        <v>67</v>
      </c>
      <c r="F26" t="s">
        <v>68</v>
      </c>
      <c r="G26" t="s">
        <v>0</v>
      </c>
      <c r="H26" t="s">
        <v>1</v>
      </c>
      <c r="I26" t="s">
        <v>2</v>
      </c>
      <c r="J26" t="s">
        <v>910</v>
      </c>
      <c r="K26" t="s">
        <v>544</v>
      </c>
      <c r="L26" t="s">
        <v>70</v>
      </c>
      <c r="M26" t="s">
        <v>9</v>
      </c>
    </row>
    <row r="27" spans="1:13">
      <c r="A27" s="2">
        <v>48535</v>
      </c>
      <c r="B27" t="s">
        <v>3</v>
      </c>
      <c r="C27" s="1">
        <v>43357</v>
      </c>
      <c r="D27" t="s">
        <v>545</v>
      </c>
      <c r="E27" t="s">
        <v>67</v>
      </c>
      <c r="F27" t="s">
        <v>68</v>
      </c>
      <c r="G27" t="s">
        <v>0</v>
      </c>
      <c r="H27" t="s">
        <v>1</v>
      </c>
      <c r="I27" t="s">
        <v>2</v>
      </c>
      <c r="J27" t="s">
        <v>910</v>
      </c>
      <c r="K27" t="s">
        <v>546</v>
      </c>
      <c r="L27" t="s">
        <v>70</v>
      </c>
      <c r="M27" t="s">
        <v>9</v>
      </c>
    </row>
    <row r="28" spans="1:13">
      <c r="A28" s="2">
        <v>48604</v>
      </c>
      <c r="B28" t="s">
        <v>3</v>
      </c>
      <c r="C28" s="1">
        <v>43360</v>
      </c>
      <c r="D28" t="s">
        <v>547</v>
      </c>
      <c r="E28" t="s">
        <v>67</v>
      </c>
      <c r="F28" t="s">
        <v>68</v>
      </c>
      <c r="G28" t="s">
        <v>0</v>
      </c>
      <c r="H28" t="s">
        <v>1</v>
      </c>
      <c r="I28" t="s">
        <v>2</v>
      </c>
      <c r="J28" t="s">
        <v>910</v>
      </c>
      <c r="K28" t="s">
        <v>548</v>
      </c>
      <c r="L28" t="s">
        <v>70</v>
      </c>
      <c r="M28" t="s">
        <v>9</v>
      </c>
    </row>
    <row r="29" spans="1:13">
      <c r="A29" s="2">
        <v>164639</v>
      </c>
      <c r="B29" t="s">
        <v>212</v>
      </c>
      <c r="C29" s="1">
        <v>43371</v>
      </c>
      <c r="D29" t="s">
        <v>726</v>
      </c>
      <c r="E29" t="s">
        <v>79</v>
      </c>
      <c r="F29" t="s">
        <v>80</v>
      </c>
      <c r="G29" t="s">
        <v>0</v>
      </c>
      <c r="H29" t="s">
        <v>1</v>
      </c>
      <c r="I29" t="s">
        <v>2</v>
      </c>
      <c r="J29" t="s">
        <v>910</v>
      </c>
      <c r="K29" t="s">
        <v>727</v>
      </c>
      <c r="L29" t="s">
        <v>517</v>
      </c>
      <c r="M29" t="s">
        <v>9</v>
      </c>
    </row>
    <row r="30" spans="1:13">
      <c r="A30" s="2">
        <v>166499</v>
      </c>
      <c r="B30" t="s">
        <v>86</v>
      </c>
      <c r="C30" s="1">
        <v>43371</v>
      </c>
      <c r="D30" t="s">
        <v>728</v>
      </c>
      <c r="E30" t="s">
        <v>67</v>
      </c>
      <c r="F30" t="s">
        <v>68</v>
      </c>
      <c r="G30" t="s">
        <v>0</v>
      </c>
      <c r="H30" t="s">
        <v>1</v>
      </c>
      <c r="I30" t="s">
        <v>2</v>
      </c>
      <c r="J30" t="s">
        <v>910</v>
      </c>
      <c r="K30" t="s">
        <v>729</v>
      </c>
      <c r="L30" t="s">
        <v>70</v>
      </c>
      <c r="M30" t="s">
        <v>9</v>
      </c>
    </row>
    <row r="31" spans="1:13">
      <c r="A31" s="2">
        <v>166504</v>
      </c>
      <c r="B31" t="s">
        <v>3</v>
      </c>
      <c r="C31" s="1">
        <v>43353</v>
      </c>
      <c r="D31" t="s">
        <v>730</v>
      </c>
      <c r="E31" t="s">
        <v>67</v>
      </c>
      <c r="F31" t="s">
        <v>68</v>
      </c>
      <c r="G31" t="s">
        <v>0</v>
      </c>
      <c r="H31" t="s">
        <v>1</v>
      </c>
      <c r="I31" t="s">
        <v>2</v>
      </c>
      <c r="J31" t="s">
        <v>910</v>
      </c>
      <c r="K31" t="s">
        <v>731</v>
      </c>
      <c r="L31" t="s">
        <v>70</v>
      </c>
      <c r="M31" t="s">
        <v>9</v>
      </c>
    </row>
    <row r="32" spans="1:13">
      <c r="A32" s="2">
        <v>177859</v>
      </c>
      <c r="B32" t="s">
        <v>24</v>
      </c>
      <c r="C32" s="1">
        <v>43362</v>
      </c>
      <c r="D32" t="s">
        <v>744</v>
      </c>
      <c r="E32" t="s">
        <v>67</v>
      </c>
      <c r="F32" t="s">
        <v>68</v>
      </c>
      <c r="G32" t="s">
        <v>0</v>
      </c>
      <c r="H32" t="s">
        <v>1</v>
      </c>
      <c r="I32" t="s">
        <v>2</v>
      </c>
      <c r="J32" t="s">
        <v>910</v>
      </c>
      <c r="K32" t="s">
        <v>745</v>
      </c>
      <c r="L32" t="s">
        <v>70</v>
      </c>
      <c r="M32" t="s">
        <v>9</v>
      </c>
    </row>
    <row r="33" spans="1:13">
      <c r="A33" s="2">
        <v>178532</v>
      </c>
      <c r="B33" t="s">
        <v>212</v>
      </c>
      <c r="C33" s="1">
        <v>43371</v>
      </c>
      <c r="D33" t="s">
        <v>750</v>
      </c>
      <c r="E33" t="s">
        <v>79</v>
      </c>
      <c r="F33" t="s">
        <v>80</v>
      </c>
      <c r="G33" t="s">
        <v>0</v>
      </c>
      <c r="H33" t="s">
        <v>1</v>
      </c>
      <c r="I33" t="s">
        <v>2</v>
      </c>
      <c r="J33" t="s">
        <v>910</v>
      </c>
      <c r="K33" t="s">
        <v>751</v>
      </c>
      <c r="L33" t="s">
        <v>522</v>
      </c>
      <c r="M33" t="s">
        <v>9</v>
      </c>
    </row>
    <row r="34" spans="1:13">
      <c r="A34" s="2">
        <v>178638</v>
      </c>
      <c r="B34" t="s">
        <v>65</v>
      </c>
      <c r="C34" s="1">
        <v>43360</v>
      </c>
      <c r="D34" t="s">
        <v>752</v>
      </c>
      <c r="E34" t="s">
        <v>79</v>
      </c>
      <c r="F34" t="s">
        <v>80</v>
      </c>
      <c r="G34" t="s">
        <v>0</v>
      </c>
      <c r="H34" t="s">
        <v>1</v>
      </c>
      <c r="I34" t="s">
        <v>2</v>
      </c>
      <c r="J34" t="s">
        <v>910</v>
      </c>
      <c r="K34" t="s">
        <v>753</v>
      </c>
      <c r="L34" t="s">
        <v>522</v>
      </c>
      <c r="M34" t="s">
        <v>9</v>
      </c>
    </row>
    <row r="35" spans="1:13">
      <c r="A35" s="2">
        <v>178957</v>
      </c>
      <c r="B35" t="s">
        <v>24</v>
      </c>
      <c r="C35" s="1">
        <v>43354</v>
      </c>
      <c r="D35" t="s">
        <v>756</v>
      </c>
      <c r="E35" t="s">
        <v>79</v>
      </c>
      <c r="F35" t="s">
        <v>80</v>
      </c>
      <c r="G35" t="s">
        <v>0</v>
      </c>
      <c r="H35" t="s">
        <v>1</v>
      </c>
      <c r="I35" t="s">
        <v>2</v>
      </c>
      <c r="J35" t="s">
        <v>910</v>
      </c>
      <c r="K35" t="s">
        <v>757</v>
      </c>
      <c r="L35" t="s">
        <v>517</v>
      </c>
      <c r="M35" t="s">
        <v>9</v>
      </c>
    </row>
    <row r="36" spans="1:13">
      <c r="A36" s="2">
        <v>179542</v>
      </c>
      <c r="B36" t="s">
        <v>86</v>
      </c>
      <c r="C36" s="1">
        <v>43371</v>
      </c>
      <c r="D36" t="s">
        <v>758</v>
      </c>
      <c r="E36" t="s">
        <v>67</v>
      </c>
      <c r="F36" t="s">
        <v>68</v>
      </c>
      <c r="G36" t="s">
        <v>0</v>
      </c>
      <c r="H36" t="s">
        <v>1</v>
      </c>
      <c r="I36" t="s">
        <v>2</v>
      </c>
      <c r="J36" t="s">
        <v>910</v>
      </c>
      <c r="K36" t="s">
        <v>759</v>
      </c>
      <c r="L36" t="s">
        <v>70</v>
      </c>
      <c r="M36" t="s">
        <v>9</v>
      </c>
    </row>
    <row r="37" spans="1:13">
      <c r="A37" s="2">
        <v>189148</v>
      </c>
      <c r="B37" t="s">
        <v>3</v>
      </c>
      <c r="C37" s="1">
        <v>43353</v>
      </c>
      <c r="D37" t="s">
        <v>783</v>
      </c>
      <c r="E37" t="s">
        <v>72</v>
      </c>
      <c r="F37" t="s">
        <v>73</v>
      </c>
      <c r="G37" t="s">
        <v>0</v>
      </c>
      <c r="H37" t="s">
        <v>1</v>
      </c>
      <c r="I37" t="s">
        <v>2</v>
      </c>
      <c r="J37" t="s">
        <v>910</v>
      </c>
      <c r="K37" t="s">
        <v>784</v>
      </c>
      <c r="L37" t="s">
        <v>75</v>
      </c>
      <c r="M37" t="s">
        <v>9</v>
      </c>
    </row>
    <row r="38" spans="1:13">
      <c r="A38" s="2">
        <v>197510</v>
      </c>
      <c r="B38" t="s">
        <v>3</v>
      </c>
      <c r="C38" s="1">
        <v>43367</v>
      </c>
      <c r="D38" t="s">
        <v>801</v>
      </c>
      <c r="E38" t="s">
        <v>67</v>
      </c>
      <c r="F38" t="s">
        <v>68</v>
      </c>
      <c r="G38" t="s">
        <v>0</v>
      </c>
      <c r="H38" t="s">
        <v>1</v>
      </c>
      <c r="I38" t="s">
        <v>2</v>
      </c>
      <c r="J38" t="s">
        <v>910</v>
      </c>
      <c r="K38" t="s">
        <v>802</v>
      </c>
      <c r="L38" t="s">
        <v>70</v>
      </c>
      <c r="M38" t="s">
        <v>9</v>
      </c>
    </row>
    <row r="39" spans="1:13">
      <c r="A39" s="2">
        <v>198366</v>
      </c>
      <c r="B39" t="s">
        <v>86</v>
      </c>
      <c r="C39" s="1">
        <v>43371</v>
      </c>
      <c r="D39" t="s">
        <v>804</v>
      </c>
      <c r="E39" t="s">
        <v>67</v>
      </c>
      <c r="F39" t="s">
        <v>68</v>
      </c>
      <c r="G39" t="s">
        <v>0</v>
      </c>
      <c r="H39" t="s">
        <v>1</v>
      </c>
      <c r="I39" t="s">
        <v>2</v>
      </c>
      <c r="J39" t="s">
        <v>910</v>
      </c>
      <c r="K39" t="s">
        <v>805</v>
      </c>
      <c r="L39" t="s">
        <v>70</v>
      </c>
      <c r="M39" t="s">
        <v>9</v>
      </c>
    </row>
    <row r="40" spans="1:13">
      <c r="A40" s="2">
        <v>227469</v>
      </c>
      <c r="B40" t="s">
        <v>212</v>
      </c>
      <c r="C40" s="1">
        <v>43371</v>
      </c>
      <c r="D40" t="s">
        <v>811</v>
      </c>
      <c r="E40" t="s">
        <v>79</v>
      </c>
      <c r="F40" t="s">
        <v>80</v>
      </c>
      <c r="G40" t="s">
        <v>0</v>
      </c>
      <c r="H40" t="s">
        <v>1</v>
      </c>
      <c r="I40" t="s">
        <v>2</v>
      </c>
      <c r="J40" t="s">
        <v>910</v>
      </c>
      <c r="K40" t="s">
        <v>812</v>
      </c>
      <c r="L40" t="s">
        <v>82</v>
      </c>
      <c r="M40" t="s">
        <v>9</v>
      </c>
    </row>
    <row r="41" spans="1:13">
      <c r="A41" s="2">
        <v>228491</v>
      </c>
      <c r="B41" t="s">
        <v>24</v>
      </c>
      <c r="C41" s="1">
        <v>43353</v>
      </c>
      <c r="D41" t="s">
        <v>813</v>
      </c>
      <c r="E41" t="s">
        <v>67</v>
      </c>
      <c r="F41" t="s">
        <v>68</v>
      </c>
      <c r="G41" t="s">
        <v>0</v>
      </c>
      <c r="H41" t="s">
        <v>1</v>
      </c>
      <c r="I41" t="s">
        <v>2</v>
      </c>
      <c r="J41" t="s">
        <v>910</v>
      </c>
      <c r="K41" t="s">
        <v>814</v>
      </c>
      <c r="L41" t="s">
        <v>815</v>
      </c>
      <c r="M41" t="s">
        <v>9</v>
      </c>
    </row>
    <row r="42" spans="1:13">
      <c r="A42" s="2">
        <v>282144</v>
      </c>
      <c r="B42" t="s">
        <v>212</v>
      </c>
      <c r="C42" s="1">
        <v>43371</v>
      </c>
      <c r="D42" t="s">
        <v>824</v>
      </c>
      <c r="E42" t="s">
        <v>67</v>
      </c>
      <c r="F42" t="s">
        <v>68</v>
      </c>
      <c r="G42" t="s">
        <v>0</v>
      </c>
      <c r="H42" t="s">
        <v>1</v>
      </c>
      <c r="I42" t="s">
        <v>2</v>
      </c>
      <c r="J42" t="s">
        <v>910</v>
      </c>
      <c r="K42" t="s">
        <v>825</v>
      </c>
      <c r="L42" t="s">
        <v>70</v>
      </c>
      <c r="M42" t="s">
        <v>9</v>
      </c>
    </row>
    <row r="43" spans="1:13">
      <c r="A43" s="2">
        <v>375406</v>
      </c>
      <c r="B43" t="s">
        <v>86</v>
      </c>
      <c r="C43" s="1">
        <v>43371</v>
      </c>
      <c r="D43" t="s">
        <v>831</v>
      </c>
      <c r="E43" t="s">
        <v>79</v>
      </c>
      <c r="F43" t="s">
        <v>80</v>
      </c>
      <c r="G43" t="s">
        <v>0</v>
      </c>
      <c r="H43" t="s">
        <v>1</v>
      </c>
      <c r="I43" t="s">
        <v>2</v>
      </c>
      <c r="J43" t="s">
        <v>910</v>
      </c>
      <c r="K43" t="s">
        <v>832</v>
      </c>
      <c r="L43" t="s">
        <v>203</v>
      </c>
      <c r="M43" t="s">
        <v>9</v>
      </c>
    </row>
    <row r="44" spans="1:13">
      <c r="A44" s="2">
        <v>447450</v>
      </c>
      <c r="B44" t="s">
        <v>86</v>
      </c>
      <c r="C44" s="1">
        <v>43357</v>
      </c>
      <c r="D44" t="s">
        <v>846</v>
      </c>
      <c r="E44" t="s">
        <v>79</v>
      </c>
      <c r="F44" t="s">
        <v>80</v>
      </c>
      <c r="G44" t="s">
        <v>0</v>
      </c>
      <c r="H44" t="s">
        <v>1</v>
      </c>
      <c r="I44" t="s">
        <v>2</v>
      </c>
      <c r="J44" t="s">
        <v>910</v>
      </c>
      <c r="K44" t="s">
        <v>847</v>
      </c>
      <c r="L44" t="s">
        <v>203</v>
      </c>
      <c r="M44" t="s">
        <v>9</v>
      </c>
    </row>
    <row r="45" spans="1:13">
      <c r="A45" s="2">
        <v>505302</v>
      </c>
      <c r="B45" t="s">
        <v>24</v>
      </c>
      <c r="C45" s="1">
        <v>43353</v>
      </c>
      <c r="D45" t="s">
        <v>883</v>
      </c>
      <c r="E45" t="s">
        <v>79</v>
      </c>
      <c r="F45" t="s">
        <v>80</v>
      </c>
      <c r="G45" t="s">
        <v>0</v>
      </c>
      <c r="H45" t="s">
        <v>1</v>
      </c>
      <c r="I45" t="s">
        <v>2</v>
      </c>
      <c r="J45" t="s">
        <v>910</v>
      </c>
      <c r="K45" t="s">
        <v>884</v>
      </c>
      <c r="L45" t="s">
        <v>82</v>
      </c>
      <c r="M45" t="s">
        <v>9</v>
      </c>
    </row>
    <row r="46" spans="1:13">
      <c r="A46" s="2">
        <v>506273</v>
      </c>
      <c r="B46" t="s">
        <v>3</v>
      </c>
      <c r="C46" s="1">
        <v>43360</v>
      </c>
      <c r="D46" t="s">
        <v>885</v>
      </c>
      <c r="E46" t="s">
        <v>67</v>
      </c>
      <c r="F46" t="s">
        <v>68</v>
      </c>
      <c r="G46" t="s">
        <v>0</v>
      </c>
      <c r="H46" t="s">
        <v>1</v>
      </c>
      <c r="I46" t="s">
        <v>2</v>
      </c>
      <c r="J46" t="s">
        <v>910</v>
      </c>
      <c r="K46" t="s">
        <v>886</v>
      </c>
      <c r="L46" t="s">
        <v>70</v>
      </c>
      <c r="M46" t="s">
        <v>9</v>
      </c>
    </row>
    <row r="47" spans="1:13">
      <c r="A47" s="2">
        <v>517357</v>
      </c>
      <c r="B47" t="s">
        <v>86</v>
      </c>
      <c r="C47" s="1">
        <v>43371</v>
      </c>
      <c r="D47" t="s">
        <v>887</v>
      </c>
      <c r="E47" t="s">
        <v>79</v>
      </c>
      <c r="F47" t="s">
        <v>80</v>
      </c>
      <c r="G47" t="s">
        <v>0</v>
      </c>
      <c r="H47" t="s">
        <v>1</v>
      </c>
      <c r="I47" t="s">
        <v>2</v>
      </c>
      <c r="J47" t="s">
        <v>910</v>
      </c>
      <c r="K47" t="s">
        <v>888</v>
      </c>
      <c r="L47" t="s">
        <v>475</v>
      </c>
      <c r="M47" t="s">
        <v>9</v>
      </c>
    </row>
    <row r="48" spans="1:13">
      <c r="A48" s="2">
        <v>555720</v>
      </c>
      <c r="B48" t="s">
        <v>86</v>
      </c>
      <c r="C48" s="1">
        <v>43363</v>
      </c>
      <c r="D48" t="s">
        <v>889</v>
      </c>
      <c r="E48" t="s">
        <v>79</v>
      </c>
      <c r="F48" t="s">
        <v>80</v>
      </c>
      <c r="G48" t="s">
        <v>0</v>
      </c>
      <c r="H48" t="s">
        <v>1</v>
      </c>
      <c r="I48" t="s">
        <v>2</v>
      </c>
      <c r="J48" t="s">
        <v>910</v>
      </c>
      <c r="K48" t="s">
        <v>890</v>
      </c>
      <c r="L48" t="s">
        <v>203</v>
      </c>
      <c r="M48" t="s">
        <v>9</v>
      </c>
    </row>
    <row r="49" spans="1:13">
      <c r="A49" s="2">
        <v>585322</v>
      </c>
      <c r="B49" t="s">
        <v>86</v>
      </c>
      <c r="C49" s="1">
        <v>43370</v>
      </c>
      <c r="D49" t="s">
        <v>891</v>
      </c>
      <c r="E49" t="s">
        <v>79</v>
      </c>
      <c r="F49" t="s">
        <v>80</v>
      </c>
      <c r="G49" t="s">
        <v>0</v>
      </c>
      <c r="H49" t="s">
        <v>1</v>
      </c>
      <c r="I49" t="s">
        <v>2</v>
      </c>
      <c r="J49" t="s">
        <v>910</v>
      </c>
      <c r="K49" t="s">
        <v>892</v>
      </c>
      <c r="L49" t="s">
        <v>203</v>
      </c>
      <c r="M49" t="s">
        <v>9</v>
      </c>
    </row>
    <row r="50" spans="1:13">
      <c r="A50" s="2">
        <v>585327</v>
      </c>
      <c r="B50" t="s">
        <v>86</v>
      </c>
      <c r="C50" s="1">
        <v>43353</v>
      </c>
      <c r="D50" t="s">
        <v>893</v>
      </c>
      <c r="E50" t="s">
        <v>79</v>
      </c>
      <c r="F50" t="s">
        <v>80</v>
      </c>
      <c r="G50" t="s">
        <v>0</v>
      </c>
      <c r="H50" t="s">
        <v>1</v>
      </c>
      <c r="I50" t="s">
        <v>2</v>
      </c>
      <c r="J50" t="s">
        <v>910</v>
      </c>
      <c r="K50" t="s">
        <v>894</v>
      </c>
      <c r="L50" t="s">
        <v>203</v>
      </c>
      <c r="M50" t="s">
        <v>9</v>
      </c>
    </row>
    <row r="51" spans="1:13">
      <c r="A51" s="2">
        <v>14087</v>
      </c>
      <c r="B51" t="s">
        <v>3</v>
      </c>
      <c r="C51" s="1">
        <v>42719</v>
      </c>
      <c r="D51" t="s">
        <v>170</v>
      </c>
      <c r="E51" t="s">
        <v>171</v>
      </c>
      <c r="F51" t="s">
        <v>172</v>
      </c>
      <c r="G51" t="s">
        <v>0</v>
      </c>
      <c r="H51" t="s">
        <v>1</v>
      </c>
      <c r="I51" t="s">
        <v>2</v>
      </c>
      <c r="J51" t="s">
        <v>174</v>
      </c>
      <c r="K51" t="s">
        <v>173</v>
      </c>
      <c r="L51" t="s">
        <v>174</v>
      </c>
      <c r="M51" t="s">
        <v>9</v>
      </c>
    </row>
    <row r="52" spans="1:13">
      <c r="A52" s="2">
        <v>14089</v>
      </c>
      <c r="B52" t="s">
        <v>3</v>
      </c>
      <c r="C52" s="1">
        <v>42719</v>
      </c>
      <c r="D52" t="s">
        <v>175</v>
      </c>
      <c r="E52" t="s">
        <v>176</v>
      </c>
      <c r="F52" t="s">
        <v>177</v>
      </c>
      <c r="G52" t="s">
        <v>0</v>
      </c>
      <c r="H52" t="s">
        <v>1</v>
      </c>
      <c r="I52" t="s">
        <v>2</v>
      </c>
      <c r="J52" t="s">
        <v>174</v>
      </c>
      <c r="K52" t="s">
        <v>178</v>
      </c>
      <c r="L52" t="s">
        <v>174</v>
      </c>
      <c r="M52" t="s">
        <v>9</v>
      </c>
    </row>
    <row r="53" spans="1:13">
      <c r="A53" s="2">
        <v>14090</v>
      </c>
      <c r="B53" t="s">
        <v>3</v>
      </c>
      <c r="C53" s="1">
        <v>42719</v>
      </c>
      <c r="D53" t="s">
        <v>179</v>
      </c>
      <c r="E53" t="s">
        <v>171</v>
      </c>
      <c r="F53" t="s">
        <v>172</v>
      </c>
      <c r="G53" t="s">
        <v>0</v>
      </c>
      <c r="H53" t="s">
        <v>1</v>
      </c>
      <c r="I53" t="s">
        <v>2</v>
      </c>
      <c r="J53" t="s">
        <v>174</v>
      </c>
      <c r="K53" t="s">
        <v>180</v>
      </c>
      <c r="L53" t="s">
        <v>174</v>
      </c>
      <c r="M53" t="s">
        <v>9</v>
      </c>
    </row>
    <row r="54" spans="1:13">
      <c r="A54" s="2">
        <v>14095</v>
      </c>
      <c r="B54" t="s">
        <v>3</v>
      </c>
      <c r="C54" s="1">
        <v>42719</v>
      </c>
      <c r="D54" t="s">
        <v>181</v>
      </c>
      <c r="E54" t="s">
        <v>171</v>
      </c>
      <c r="F54" t="s">
        <v>172</v>
      </c>
      <c r="G54" t="s">
        <v>0</v>
      </c>
      <c r="H54" t="s">
        <v>1</v>
      </c>
      <c r="I54" t="s">
        <v>2</v>
      </c>
      <c r="J54" t="s">
        <v>174</v>
      </c>
      <c r="K54" t="s">
        <v>182</v>
      </c>
      <c r="L54" t="s">
        <v>174</v>
      </c>
      <c r="M54" t="s">
        <v>9</v>
      </c>
    </row>
    <row r="55" spans="1:13">
      <c r="A55" s="2">
        <v>14097</v>
      </c>
      <c r="B55" t="s">
        <v>3</v>
      </c>
      <c r="C55" s="1">
        <v>42719</v>
      </c>
      <c r="D55" t="s">
        <v>183</v>
      </c>
      <c r="E55" t="s">
        <v>171</v>
      </c>
      <c r="F55" t="s">
        <v>172</v>
      </c>
      <c r="G55" t="s">
        <v>0</v>
      </c>
      <c r="H55" t="s">
        <v>1</v>
      </c>
      <c r="I55" t="s">
        <v>2</v>
      </c>
      <c r="J55" t="s">
        <v>174</v>
      </c>
      <c r="K55" t="s">
        <v>184</v>
      </c>
      <c r="L55" t="s">
        <v>174</v>
      </c>
      <c r="M55" t="s">
        <v>9</v>
      </c>
    </row>
    <row r="56" spans="1:13">
      <c r="A56" s="2">
        <v>14098</v>
      </c>
      <c r="B56" t="s">
        <v>3</v>
      </c>
      <c r="C56" s="1">
        <v>42719</v>
      </c>
      <c r="D56" t="s">
        <v>185</v>
      </c>
      <c r="E56" t="s">
        <v>171</v>
      </c>
      <c r="F56" t="s">
        <v>172</v>
      </c>
      <c r="G56" t="s">
        <v>0</v>
      </c>
      <c r="H56" t="s">
        <v>1</v>
      </c>
      <c r="I56" t="s">
        <v>2</v>
      </c>
      <c r="J56" t="s">
        <v>174</v>
      </c>
      <c r="K56" t="s">
        <v>186</v>
      </c>
      <c r="L56" t="s">
        <v>174</v>
      </c>
      <c r="M56" t="s">
        <v>9</v>
      </c>
    </row>
    <row r="57" spans="1:13">
      <c r="A57" s="2">
        <v>14102</v>
      </c>
      <c r="B57" t="s">
        <v>3</v>
      </c>
      <c r="C57" s="1">
        <v>42719</v>
      </c>
      <c r="D57" t="s">
        <v>187</v>
      </c>
      <c r="E57" t="s">
        <v>171</v>
      </c>
      <c r="F57" t="s">
        <v>172</v>
      </c>
      <c r="G57" t="s">
        <v>0</v>
      </c>
      <c r="H57" t="s">
        <v>1</v>
      </c>
      <c r="I57" t="s">
        <v>2</v>
      </c>
      <c r="J57" t="s">
        <v>174</v>
      </c>
      <c r="K57" t="s">
        <v>188</v>
      </c>
      <c r="L57" t="s">
        <v>174</v>
      </c>
      <c r="M57" t="s">
        <v>9</v>
      </c>
    </row>
    <row r="58" spans="1:13">
      <c r="A58" s="2">
        <v>14104</v>
      </c>
      <c r="B58" t="s">
        <v>3</v>
      </c>
      <c r="C58" s="1">
        <v>42719</v>
      </c>
      <c r="D58" t="s">
        <v>189</v>
      </c>
      <c r="E58" t="s">
        <v>171</v>
      </c>
      <c r="F58" t="s">
        <v>172</v>
      </c>
      <c r="G58" t="s">
        <v>0</v>
      </c>
      <c r="H58" t="s">
        <v>1</v>
      </c>
      <c r="I58" t="s">
        <v>2</v>
      </c>
      <c r="J58" t="s">
        <v>174</v>
      </c>
      <c r="K58" t="s">
        <v>190</v>
      </c>
      <c r="L58" t="s">
        <v>174</v>
      </c>
      <c r="M58" t="s">
        <v>9</v>
      </c>
    </row>
    <row r="59" spans="1:13">
      <c r="A59" s="2">
        <v>14105</v>
      </c>
      <c r="B59" t="s">
        <v>3</v>
      </c>
      <c r="C59" s="1">
        <v>42719</v>
      </c>
      <c r="D59" t="s">
        <v>191</v>
      </c>
      <c r="E59" t="s">
        <v>171</v>
      </c>
      <c r="F59" t="s">
        <v>172</v>
      </c>
      <c r="G59" t="s">
        <v>0</v>
      </c>
      <c r="H59" t="s">
        <v>1</v>
      </c>
      <c r="I59" t="s">
        <v>2</v>
      </c>
      <c r="J59" t="s">
        <v>174</v>
      </c>
      <c r="K59" t="s">
        <v>192</v>
      </c>
      <c r="L59" t="s">
        <v>174</v>
      </c>
      <c r="M59" t="s">
        <v>9</v>
      </c>
    </row>
    <row r="60" spans="1:13">
      <c r="A60" s="2">
        <v>14107</v>
      </c>
      <c r="B60" t="s">
        <v>3</v>
      </c>
      <c r="C60" s="1">
        <v>42719</v>
      </c>
      <c r="D60" t="s">
        <v>187</v>
      </c>
      <c r="E60" t="s">
        <v>171</v>
      </c>
      <c r="F60" t="s">
        <v>172</v>
      </c>
      <c r="G60" t="s">
        <v>0</v>
      </c>
      <c r="H60" t="s">
        <v>1</v>
      </c>
      <c r="I60" t="s">
        <v>2</v>
      </c>
      <c r="J60" t="s">
        <v>174</v>
      </c>
      <c r="K60" t="s">
        <v>193</v>
      </c>
      <c r="L60" t="s">
        <v>174</v>
      </c>
      <c r="M60" t="s">
        <v>9</v>
      </c>
    </row>
    <row r="61" spans="1:13">
      <c r="A61" s="2">
        <v>14108</v>
      </c>
      <c r="B61" t="s">
        <v>3</v>
      </c>
      <c r="C61" s="1">
        <v>42719</v>
      </c>
      <c r="D61" t="s">
        <v>194</v>
      </c>
      <c r="E61" t="s">
        <v>195</v>
      </c>
      <c r="F61" t="s">
        <v>196</v>
      </c>
      <c r="G61" t="s">
        <v>0</v>
      </c>
      <c r="H61" t="s">
        <v>1</v>
      </c>
      <c r="I61" t="s">
        <v>2</v>
      </c>
      <c r="J61" t="s">
        <v>174</v>
      </c>
      <c r="K61" t="s">
        <v>197</v>
      </c>
      <c r="L61" t="s">
        <v>174</v>
      </c>
      <c r="M61" t="s">
        <v>9</v>
      </c>
    </row>
    <row r="62" spans="1:13">
      <c r="A62" s="2">
        <v>14120</v>
      </c>
      <c r="B62" t="s">
        <v>3</v>
      </c>
      <c r="C62" s="1">
        <v>42719</v>
      </c>
      <c r="D62" t="s">
        <v>198</v>
      </c>
      <c r="E62" t="s">
        <v>171</v>
      </c>
      <c r="F62" t="s">
        <v>172</v>
      </c>
      <c r="G62" t="s">
        <v>0</v>
      </c>
      <c r="H62" t="s">
        <v>1</v>
      </c>
      <c r="I62" t="s">
        <v>2</v>
      </c>
      <c r="J62" t="s">
        <v>174</v>
      </c>
      <c r="K62" t="s">
        <v>199</v>
      </c>
      <c r="L62" t="s">
        <v>174</v>
      </c>
      <c r="M62" t="s">
        <v>9</v>
      </c>
    </row>
    <row r="63" spans="1:13">
      <c r="A63" s="2">
        <v>14125</v>
      </c>
      <c r="B63" t="s">
        <v>3</v>
      </c>
      <c r="C63" s="1">
        <v>42719</v>
      </c>
      <c r="D63" t="s">
        <v>198</v>
      </c>
      <c r="E63" t="s">
        <v>171</v>
      </c>
      <c r="F63" t="s">
        <v>172</v>
      </c>
      <c r="G63" t="s">
        <v>0</v>
      </c>
      <c r="H63" t="s">
        <v>1</v>
      </c>
      <c r="I63" t="s">
        <v>2</v>
      </c>
      <c r="J63" t="s">
        <v>174</v>
      </c>
      <c r="K63" t="s">
        <v>200</v>
      </c>
      <c r="L63" t="s">
        <v>174</v>
      </c>
      <c r="M63" t="s">
        <v>9</v>
      </c>
    </row>
    <row r="64" spans="1:13">
      <c r="A64" s="2">
        <v>36641</v>
      </c>
      <c r="B64" t="s">
        <v>86</v>
      </c>
      <c r="C64" s="1">
        <v>42719</v>
      </c>
      <c r="D64" t="s">
        <v>213</v>
      </c>
      <c r="E64" t="s">
        <v>214</v>
      </c>
      <c r="F64" t="s">
        <v>215</v>
      </c>
      <c r="G64" t="s">
        <v>0</v>
      </c>
      <c r="H64" t="s">
        <v>1</v>
      </c>
      <c r="I64" t="s">
        <v>2</v>
      </c>
      <c r="J64" t="s">
        <v>174</v>
      </c>
      <c r="K64" t="s">
        <v>216</v>
      </c>
      <c r="L64" t="s">
        <v>174</v>
      </c>
      <c r="M64" t="s">
        <v>9</v>
      </c>
    </row>
    <row r="65" spans="1:13">
      <c r="A65" s="2">
        <v>36642</v>
      </c>
      <c r="B65" t="s">
        <v>24</v>
      </c>
      <c r="C65" s="1">
        <v>42719</v>
      </c>
      <c r="D65" t="s">
        <v>217</v>
      </c>
      <c r="E65" t="s">
        <v>171</v>
      </c>
      <c r="F65" t="s">
        <v>172</v>
      </c>
      <c r="G65" t="s">
        <v>0</v>
      </c>
      <c r="H65" t="s">
        <v>1</v>
      </c>
      <c r="I65" t="s">
        <v>2</v>
      </c>
      <c r="J65" t="s">
        <v>174</v>
      </c>
      <c r="K65" t="s">
        <v>218</v>
      </c>
      <c r="L65" t="s">
        <v>174</v>
      </c>
      <c r="M65" t="s">
        <v>9</v>
      </c>
    </row>
    <row r="66" spans="1:13">
      <c r="A66" s="2">
        <v>37375</v>
      </c>
      <c r="B66" t="s">
        <v>65</v>
      </c>
      <c r="C66" s="1">
        <v>42719</v>
      </c>
      <c r="D66" t="s">
        <v>222</v>
      </c>
      <c r="E66" t="s">
        <v>214</v>
      </c>
      <c r="F66" t="s">
        <v>215</v>
      </c>
      <c r="G66" t="s">
        <v>0</v>
      </c>
      <c r="H66" t="s">
        <v>1</v>
      </c>
      <c r="I66" t="s">
        <v>2</v>
      </c>
      <c r="J66" t="s">
        <v>174</v>
      </c>
      <c r="K66" t="s">
        <v>223</v>
      </c>
      <c r="L66" t="s">
        <v>174</v>
      </c>
      <c r="M66" t="s">
        <v>9</v>
      </c>
    </row>
    <row r="67" spans="1:13">
      <c r="A67" s="2">
        <v>42817</v>
      </c>
      <c r="B67" t="s">
        <v>65</v>
      </c>
      <c r="C67" s="1">
        <v>42719</v>
      </c>
      <c r="D67" t="s">
        <v>222</v>
      </c>
      <c r="E67" t="s">
        <v>214</v>
      </c>
      <c r="F67" t="s">
        <v>215</v>
      </c>
      <c r="G67" t="s">
        <v>0</v>
      </c>
      <c r="H67" t="s">
        <v>1</v>
      </c>
      <c r="I67" t="s">
        <v>2</v>
      </c>
      <c r="J67" t="s">
        <v>174</v>
      </c>
      <c r="K67" t="s">
        <v>379</v>
      </c>
      <c r="L67" t="s">
        <v>174</v>
      </c>
      <c r="M67" t="s">
        <v>9</v>
      </c>
    </row>
    <row r="68" spans="1:13">
      <c r="A68" s="2">
        <v>42819</v>
      </c>
      <c r="B68" t="s">
        <v>65</v>
      </c>
      <c r="C68" s="1">
        <v>42719</v>
      </c>
      <c r="D68" t="s">
        <v>222</v>
      </c>
      <c r="E68" t="s">
        <v>214</v>
      </c>
      <c r="F68" t="s">
        <v>215</v>
      </c>
      <c r="G68" t="s">
        <v>0</v>
      </c>
      <c r="H68" t="s">
        <v>1</v>
      </c>
      <c r="I68" t="s">
        <v>2</v>
      </c>
      <c r="J68" t="s">
        <v>174</v>
      </c>
      <c r="K68" t="s">
        <v>380</v>
      </c>
      <c r="L68" t="s">
        <v>174</v>
      </c>
      <c r="M68" t="s">
        <v>9</v>
      </c>
    </row>
    <row r="69" spans="1:13">
      <c r="A69" s="2">
        <v>42821</v>
      </c>
      <c r="B69" t="s">
        <v>65</v>
      </c>
      <c r="C69" s="1">
        <v>42719</v>
      </c>
      <c r="D69" t="s">
        <v>222</v>
      </c>
      <c r="E69" t="s">
        <v>214</v>
      </c>
      <c r="F69" t="s">
        <v>215</v>
      </c>
      <c r="G69" t="s">
        <v>0</v>
      </c>
      <c r="H69" t="s">
        <v>1</v>
      </c>
      <c r="I69" t="s">
        <v>2</v>
      </c>
      <c r="J69" t="s">
        <v>174</v>
      </c>
      <c r="K69" t="s">
        <v>381</v>
      </c>
      <c r="L69" t="s">
        <v>174</v>
      </c>
      <c r="M69" t="s">
        <v>9</v>
      </c>
    </row>
    <row r="70" spans="1:13">
      <c r="A70" s="2">
        <v>42822</v>
      </c>
      <c r="B70" t="s">
        <v>24</v>
      </c>
      <c r="C70" s="1">
        <v>42719</v>
      </c>
      <c r="D70" t="s">
        <v>382</v>
      </c>
      <c r="E70" t="s">
        <v>195</v>
      </c>
      <c r="F70" t="s">
        <v>196</v>
      </c>
      <c r="G70" t="s">
        <v>0</v>
      </c>
      <c r="H70" t="s">
        <v>1</v>
      </c>
      <c r="I70" t="s">
        <v>2</v>
      </c>
      <c r="J70" t="s">
        <v>174</v>
      </c>
      <c r="K70" t="s">
        <v>383</v>
      </c>
      <c r="L70" t="s">
        <v>174</v>
      </c>
      <c r="M70" t="s">
        <v>9</v>
      </c>
    </row>
    <row r="71" spans="1:13">
      <c r="A71" s="2">
        <v>42823</v>
      </c>
      <c r="B71" t="s">
        <v>65</v>
      </c>
      <c r="C71" s="1">
        <v>42719</v>
      </c>
      <c r="D71" t="s">
        <v>222</v>
      </c>
      <c r="E71" t="s">
        <v>214</v>
      </c>
      <c r="F71" t="s">
        <v>215</v>
      </c>
      <c r="G71" t="s">
        <v>0</v>
      </c>
      <c r="H71" t="s">
        <v>1</v>
      </c>
      <c r="I71" t="s">
        <v>2</v>
      </c>
      <c r="J71" t="s">
        <v>174</v>
      </c>
      <c r="K71" t="s">
        <v>384</v>
      </c>
      <c r="L71" t="s">
        <v>174</v>
      </c>
      <c r="M71" t="s">
        <v>9</v>
      </c>
    </row>
    <row r="72" spans="1:13">
      <c r="A72" s="2">
        <v>42838</v>
      </c>
      <c r="B72" t="s">
        <v>3</v>
      </c>
      <c r="C72" s="1">
        <v>42719</v>
      </c>
      <c r="D72" t="s">
        <v>385</v>
      </c>
      <c r="E72" t="s">
        <v>171</v>
      </c>
      <c r="F72" t="s">
        <v>172</v>
      </c>
      <c r="G72" t="s">
        <v>0</v>
      </c>
      <c r="H72" t="s">
        <v>1</v>
      </c>
      <c r="I72" t="s">
        <v>2</v>
      </c>
      <c r="J72" t="s">
        <v>174</v>
      </c>
      <c r="K72" t="s">
        <v>386</v>
      </c>
      <c r="L72" t="s">
        <v>174</v>
      </c>
      <c r="M72" t="s">
        <v>9</v>
      </c>
    </row>
    <row r="73" spans="1:13">
      <c r="A73" s="2">
        <v>42843</v>
      </c>
      <c r="B73" t="s">
        <v>65</v>
      </c>
      <c r="C73" s="1">
        <v>42719</v>
      </c>
      <c r="D73" t="s">
        <v>222</v>
      </c>
      <c r="E73" t="s">
        <v>214</v>
      </c>
      <c r="F73" t="s">
        <v>215</v>
      </c>
      <c r="G73" t="s">
        <v>0</v>
      </c>
      <c r="H73" t="s">
        <v>1</v>
      </c>
      <c r="I73" t="s">
        <v>2</v>
      </c>
      <c r="J73" t="s">
        <v>174</v>
      </c>
      <c r="K73" t="s">
        <v>387</v>
      </c>
      <c r="L73" t="s">
        <v>174</v>
      </c>
      <c r="M73" t="s">
        <v>9</v>
      </c>
    </row>
    <row r="74" spans="1:13">
      <c r="A74" s="2">
        <v>42853</v>
      </c>
      <c r="B74" t="s">
        <v>65</v>
      </c>
      <c r="C74" s="1">
        <v>42719</v>
      </c>
      <c r="D74" t="s">
        <v>222</v>
      </c>
      <c r="E74" t="s">
        <v>214</v>
      </c>
      <c r="F74" t="s">
        <v>215</v>
      </c>
      <c r="G74" t="s">
        <v>0</v>
      </c>
      <c r="H74" t="s">
        <v>1</v>
      </c>
      <c r="I74" t="s">
        <v>2</v>
      </c>
      <c r="J74" t="s">
        <v>174</v>
      </c>
      <c r="K74" t="s">
        <v>388</v>
      </c>
      <c r="L74" t="s">
        <v>174</v>
      </c>
      <c r="M74" t="s">
        <v>9</v>
      </c>
    </row>
    <row r="75" spans="1:13">
      <c r="A75" s="2">
        <v>42864</v>
      </c>
      <c r="B75" t="s">
        <v>65</v>
      </c>
      <c r="C75" s="1">
        <v>42719</v>
      </c>
      <c r="D75" t="s">
        <v>222</v>
      </c>
      <c r="E75" t="s">
        <v>214</v>
      </c>
      <c r="F75" t="s">
        <v>215</v>
      </c>
      <c r="G75" t="s">
        <v>0</v>
      </c>
      <c r="H75" t="s">
        <v>1</v>
      </c>
      <c r="I75" t="s">
        <v>2</v>
      </c>
      <c r="J75" t="s">
        <v>174</v>
      </c>
      <c r="K75" t="s">
        <v>389</v>
      </c>
      <c r="L75" t="s">
        <v>174</v>
      </c>
      <c r="M75" t="s">
        <v>9</v>
      </c>
    </row>
    <row r="76" spans="1:13">
      <c r="A76" s="2">
        <v>42869</v>
      </c>
      <c r="B76" t="s">
        <v>65</v>
      </c>
      <c r="C76" s="1">
        <v>42719</v>
      </c>
      <c r="D76" t="s">
        <v>222</v>
      </c>
      <c r="E76" t="s">
        <v>214</v>
      </c>
      <c r="F76" t="s">
        <v>215</v>
      </c>
      <c r="G76" t="s">
        <v>0</v>
      </c>
      <c r="H76" t="s">
        <v>1</v>
      </c>
      <c r="I76" t="s">
        <v>2</v>
      </c>
      <c r="J76" t="s">
        <v>174</v>
      </c>
      <c r="K76" t="s">
        <v>390</v>
      </c>
      <c r="L76" t="s">
        <v>174</v>
      </c>
      <c r="M76" t="s">
        <v>9</v>
      </c>
    </row>
    <row r="77" spans="1:13">
      <c r="A77" s="2">
        <v>42875</v>
      </c>
      <c r="B77" t="s">
        <v>3</v>
      </c>
      <c r="C77" s="1">
        <v>42719</v>
      </c>
      <c r="D77" t="s">
        <v>198</v>
      </c>
      <c r="E77" t="s">
        <v>171</v>
      </c>
      <c r="F77" t="s">
        <v>172</v>
      </c>
      <c r="G77" t="s">
        <v>0</v>
      </c>
      <c r="H77" t="s">
        <v>1</v>
      </c>
      <c r="I77" t="s">
        <v>2</v>
      </c>
      <c r="J77" t="s">
        <v>174</v>
      </c>
      <c r="K77" t="s">
        <v>391</v>
      </c>
      <c r="L77" t="s">
        <v>174</v>
      </c>
      <c r="M77" t="s">
        <v>9</v>
      </c>
    </row>
    <row r="78" spans="1:13">
      <c r="A78" s="2">
        <v>42884</v>
      </c>
      <c r="B78" t="s">
        <v>65</v>
      </c>
      <c r="C78" s="1">
        <v>42719</v>
      </c>
      <c r="D78" t="s">
        <v>392</v>
      </c>
      <c r="E78" t="s">
        <v>214</v>
      </c>
      <c r="F78" t="s">
        <v>215</v>
      </c>
      <c r="G78" t="s">
        <v>0</v>
      </c>
      <c r="H78" t="s">
        <v>1</v>
      </c>
      <c r="I78" t="s">
        <v>2</v>
      </c>
      <c r="J78" t="s">
        <v>174</v>
      </c>
      <c r="K78" t="s">
        <v>393</v>
      </c>
      <c r="L78" t="s">
        <v>174</v>
      </c>
      <c r="M78" t="s">
        <v>9</v>
      </c>
    </row>
    <row r="79" spans="1:13">
      <c r="A79" s="2">
        <v>42885</v>
      </c>
      <c r="B79" t="s">
        <v>3</v>
      </c>
      <c r="C79" s="1">
        <v>42719</v>
      </c>
      <c r="D79" t="s">
        <v>187</v>
      </c>
      <c r="E79" t="s">
        <v>171</v>
      </c>
      <c r="F79" t="s">
        <v>172</v>
      </c>
      <c r="G79" t="s">
        <v>0</v>
      </c>
      <c r="H79" t="s">
        <v>1</v>
      </c>
      <c r="I79" t="s">
        <v>2</v>
      </c>
      <c r="J79" t="s">
        <v>174</v>
      </c>
      <c r="K79" t="s">
        <v>394</v>
      </c>
      <c r="L79" t="s">
        <v>174</v>
      </c>
      <c r="M79" t="s">
        <v>9</v>
      </c>
    </row>
    <row r="80" spans="1:13">
      <c r="A80" s="2">
        <v>42900</v>
      </c>
      <c r="B80" t="s">
        <v>86</v>
      </c>
      <c r="C80" s="1">
        <v>42719</v>
      </c>
      <c r="D80" t="s">
        <v>395</v>
      </c>
      <c r="E80" t="s">
        <v>214</v>
      </c>
      <c r="F80" t="s">
        <v>215</v>
      </c>
      <c r="G80" t="s">
        <v>0</v>
      </c>
      <c r="H80" t="s">
        <v>1</v>
      </c>
      <c r="I80" t="s">
        <v>2</v>
      </c>
      <c r="J80" t="s">
        <v>174</v>
      </c>
      <c r="K80" t="s">
        <v>396</v>
      </c>
      <c r="L80" t="s">
        <v>174</v>
      </c>
      <c r="M80" t="s">
        <v>9</v>
      </c>
    </row>
    <row r="81" spans="1:13">
      <c r="A81" s="2">
        <v>42910</v>
      </c>
      <c r="B81" t="s">
        <v>3</v>
      </c>
      <c r="C81" s="1">
        <v>42719</v>
      </c>
      <c r="D81" t="s">
        <v>397</v>
      </c>
      <c r="E81" t="s">
        <v>398</v>
      </c>
      <c r="F81" t="s">
        <v>399</v>
      </c>
      <c r="G81" t="s">
        <v>0</v>
      </c>
      <c r="H81" t="s">
        <v>1</v>
      </c>
      <c r="I81" t="s">
        <v>2</v>
      </c>
      <c r="J81" t="s">
        <v>174</v>
      </c>
      <c r="K81" t="s">
        <v>400</v>
      </c>
      <c r="L81" t="s">
        <v>174</v>
      </c>
      <c r="M81" t="s">
        <v>9</v>
      </c>
    </row>
    <row r="82" spans="1:13">
      <c r="A82" s="2">
        <v>42911</v>
      </c>
      <c r="B82" t="s">
        <v>65</v>
      </c>
      <c r="C82" s="1">
        <v>42719</v>
      </c>
      <c r="D82" t="s">
        <v>222</v>
      </c>
      <c r="E82" t="s">
        <v>214</v>
      </c>
      <c r="F82" t="s">
        <v>215</v>
      </c>
      <c r="G82" t="s">
        <v>0</v>
      </c>
      <c r="H82" t="s">
        <v>1</v>
      </c>
      <c r="I82" t="s">
        <v>2</v>
      </c>
      <c r="J82" t="s">
        <v>174</v>
      </c>
      <c r="K82" t="s">
        <v>401</v>
      </c>
      <c r="L82" t="s">
        <v>174</v>
      </c>
      <c r="M82" t="s">
        <v>9</v>
      </c>
    </row>
    <row r="83" spans="1:13">
      <c r="A83" s="2">
        <v>42913</v>
      </c>
      <c r="B83" t="s">
        <v>24</v>
      </c>
      <c r="C83" s="1">
        <v>42719</v>
      </c>
      <c r="D83" t="s">
        <v>402</v>
      </c>
      <c r="E83" t="s">
        <v>171</v>
      </c>
      <c r="F83" t="s">
        <v>172</v>
      </c>
      <c r="G83" t="s">
        <v>0</v>
      </c>
      <c r="H83" t="s">
        <v>1</v>
      </c>
      <c r="I83" t="s">
        <v>2</v>
      </c>
      <c r="J83" t="s">
        <v>174</v>
      </c>
      <c r="K83" t="s">
        <v>403</v>
      </c>
      <c r="L83" t="s">
        <v>174</v>
      </c>
      <c r="M83" t="s">
        <v>9</v>
      </c>
    </row>
    <row r="84" spans="1:13">
      <c r="A84" s="2">
        <v>42915</v>
      </c>
      <c r="B84" t="s">
        <v>65</v>
      </c>
      <c r="C84" s="1">
        <v>42719</v>
      </c>
      <c r="D84" t="s">
        <v>222</v>
      </c>
      <c r="E84" t="s">
        <v>214</v>
      </c>
      <c r="F84" t="s">
        <v>215</v>
      </c>
      <c r="G84" t="s">
        <v>0</v>
      </c>
      <c r="H84" t="s">
        <v>1</v>
      </c>
      <c r="I84" t="s">
        <v>2</v>
      </c>
      <c r="J84" t="s">
        <v>174</v>
      </c>
      <c r="K84" t="s">
        <v>404</v>
      </c>
      <c r="L84" t="s">
        <v>174</v>
      </c>
      <c r="M84" t="s">
        <v>9</v>
      </c>
    </row>
    <row r="85" spans="1:13">
      <c r="A85" s="2">
        <v>42918</v>
      </c>
      <c r="B85" t="s">
        <v>65</v>
      </c>
      <c r="C85" s="1">
        <v>42719</v>
      </c>
      <c r="D85" t="s">
        <v>222</v>
      </c>
      <c r="E85" t="s">
        <v>214</v>
      </c>
      <c r="F85" t="s">
        <v>215</v>
      </c>
      <c r="G85" t="s">
        <v>0</v>
      </c>
      <c r="H85" t="s">
        <v>1</v>
      </c>
      <c r="I85" t="s">
        <v>2</v>
      </c>
      <c r="J85" t="s">
        <v>174</v>
      </c>
      <c r="K85" t="s">
        <v>405</v>
      </c>
      <c r="L85" t="s">
        <v>174</v>
      </c>
      <c r="M85" t="s">
        <v>9</v>
      </c>
    </row>
    <row r="86" spans="1:13">
      <c r="A86" s="2">
        <v>42922</v>
      </c>
      <c r="B86" t="s">
        <v>3</v>
      </c>
      <c r="C86" s="1">
        <v>42719</v>
      </c>
      <c r="D86" t="s">
        <v>179</v>
      </c>
      <c r="E86" t="s">
        <v>171</v>
      </c>
      <c r="F86" t="s">
        <v>172</v>
      </c>
      <c r="G86" t="s">
        <v>0</v>
      </c>
      <c r="H86" t="s">
        <v>1</v>
      </c>
      <c r="I86" t="s">
        <v>2</v>
      </c>
      <c r="J86" t="s">
        <v>174</v>
      </c>
      <c r="K86" t="s">
        <v>406</v>
      </c>
      <c r="L86" t="s">
        <v>174</v>
      </c>
      <c r="M86" t="s">
        <v>9</v>
      </c>
    </row>
    <row r="87" spans="1:13">
      <c r="A87" s="2">
        <v>42931</v>
      </c>
      <c r="B87" t="s">
        <v>65</v>
      </c>
      <c r="C87" s="1">
        <v>42719</v>
      </c>
      <c r="D87" t="s">
        <v>222</v>
      </c>
      <c r="E87" t="s">
        <v>214</v>
      </c>
      <c r="F87" t="s">
        <v>215</v>
      </c>
      <c r="G87" t="s">
        <v>0</v>
      </c>
      <c r="H87" t="s">
        <v>1</v>
      </c>
      <c r="I87" t="s">
        <v>2</v>
      </c>
      <c r="J87" t="s">
        <v>174</v>
      </c>
      <c r="K87" t="s">
        <v>407</v>
      </c>
      <c r="L87" t="s">
        <v>174</v>
      </c>
      <c r="M87" t="s">
        <v>9</v>
      </c>
    </row>
    <row r="88" spans="1:13">
      <c r="A88" s="2">
        <v>42934</v>
      </c>
      <c r="B88" t="s">
        <v>24</v>
      </c>
      <c r="C88" s="1">
        <v>42719</v>
      </c>
      <c r="D88" t="s">
        <v>408</v>
      </c>
      <c r="E88" t="s">
        <v>171</v>
      </c>
      <c r="F88" t="s">
        <v>172</v>
      </c>
      <c r="G88" t="s">
        <v>0</v>
      </c>
      <c r="H88" t="s">
        <v>1</v>
      </c>
      <c r="I88" t="s">
        <v>2</v>
      </c>
      <c r="J88" t="s">
        <v>174</v>
      </c>
      <c r="K88" t="s">
        <v>409</v>
      </c>
      <c r="L88" t="s">
        <v>174</v>
      </c>
      <c r="M88" t="s">
        <v>9</v>
      </c>
    </row>
    <row r="89" spans="1:13">
      <c r="A89" s="2">
        <v>42939</v>
      </c>
      <c r="B89" t="s">
        <v>65</v>
      </c>
      <c r="C89" s="1">
        <v>42719</v>
      </c>
      <c r="D89" t="s">
        <v>222</v>
      </c>
      <c r="E89" t="s">
        <v>214</v>
      </c>
      <c r="F89" t="s">
        <v>215</v>
      </c>
      <c r="G89" t="s">
        <v>0</v>
      </c>
      <c r="H89" t="s">
        <v>1</v>
      </c>
      <c r="I89" t="s">
        <v>2</v>
      </c>
      <c r="J89" t="s">
        <v>174</v>
      </c>
      <c r="K89" t="s">
        <v>410</v>
      </c>
      <c r="L89" t="s">
        <v>174</v>
      </c>
      <c r="M89" t="s">
        <v>9</v>
      </c>
    </row>
    <row r="90" spans="1:13">
      <c r="A90" s="2">
        <v>42941</v>
      </c>
      <c r="B90" t="s">
        <v>65</v>
      </c>
      <c r="C90" s="1">
        <v>42719</v>
      </c>
      <c r="D90" t="s">
        <v>222</v>
      </c>
      <c r="E90" t="s">
        <v>214</v>
      </c>
      <c r="F90" t="s">
        <v>215</v>
      </c>
      <c r="G90" t="s">
        <v>0</v>
      </c>
      <c r="H90" t="s">
        <v>1</v>
      </c>
      <c r="I90" t="s">
        <v>2</v>
      </c>
      <c r="J90" t="s">
        <v>174</v>
      </c>
      <c r="K90" t="s">
        <v>411</v>
      </c>
      <c r="L90" t="s">
        <v>174</v>
      </c>
      <c r="M90" t="s">
        <v>9</v>
      </c>
    </row>
    <row r="91" spans="1:13">
      <c r="A91" s="2">
        <v>42942</v>
      </c>
      <c r="B91" t="s">
        <v>65</v>
      </c>
      <c r="C91" s="1">
        <v>42719</v>
      </c>
      <c r="D91" t="s">
        <v>222</v>
      </c>
      <c r="E91" t="s">
        <v>214</v>
      </c>
      <c r="F91" t="s">
        <v>215</v>
      </c>
      <c r="G91" t="s">
        <v>0</v>
      </c>
      <c r="H91" t="s">
        <v>1</v>
      </c>
      <c r="I91" t="s">
        <v>2</v>
      </c>
      <c r="J91" t="s">
        <v>174</v>
      </c>
      <c r="K91" t="s">
        <v>412</v>
      </c>
      <c r="L91" t="s">
        <v>174</v>
      </c>
      <c r="M91" t="s">
        <v>9</v>
      </c>
    </row>
    <row r="92" spans="1:13">
      <c r="A92" s="2">
        <v>42944</v>
      </c>
      <c r="B92" t="s">
        <v>65</v>
      </c>
      <c r="C92" s="1">
        <v>42719</v>
      </c>
      <c r="D92" t="s">
        <v>222</v>
      </c>
      <c r="E92" t="s">
        <v>214</v>
      </c>
      <c r="F92" t="s">
        <v>215</v>
      </c>
      <c r="G92" t="s">
        <v>0</v>
      </c>
      <c r="H92" t="s">
        <v>1</v>
      </c>
      <c r="I92" t="s">
        <v>2</v>
      </c>
      <c r="J92" t="s">
        <v>174</v>
      </c>
      <c r="K92" t="s">
        <v>413</v>
      </c>
      <c r="L92" t="s">
        <v>174</v>
      </c>
      <c r="M92" t="s">
        <v>9</v>
      </c>
    </row>
    <row r="93" spans="1:13">
      <c r="A93" s="2">
        <v>42945</v>
      </c>
      <c r="B93" t="s">
        <v>65</v>
      </c>
      <c r="C93" s="1">
        <v>42719</v>
      </c>
      <c r="D93" t="s">
        <v>414</v>
      </c>
      <c r="E93" t="s">
        <v>214</v>
      </c>
      <c r="F93" t="s">
        <v>215</v>
      </c>
      <c r="G93" t="s">
        <v>0</v>
      </c>
      <c r="H93" t="s">
        <v>1</v>
      </c>
      <c r="I93" t="s">
        <v>2</v>
      </c>
      <c r="J93" t="s">
        <v>174</v>
      </c>
      <c r="K93" t="s">
        <v>415</v>
      </c>
      <c r="L93" t="s">
        <v>174</v>
      </c>
      <c r="M93" t="s">
        <v>9</v>
      </c>
    </row>
    <row r="94" spans="1:13">
      <c r="A94" s="2">
        <v>42946</v>
      </c>
      <c r="B94" t="s">
        <v>65</v>
      </c>
      <c r="C94" s="1">
        <v>42719</v>
      </c>
      <c r="D94" t="s">
        <v>222</v>
      </c>
      <c r="E94" t="s">
        <v>214</v>
      </c>
      <c r="F94" t="s">
        <v>215</v>
      </c>
      <c r="G94" t="s">
        <v>0</v>
      </c>
      <c r="H94" t="s">
        <v>1</v>
      </c>
      <c r="I94" t="s">
        <v>2</v>
      </c>
      <c r="J94" t="s">
        <v>174</v>
      </c>
      <c r="K94" t="s">
        <v>416</v>
      </c>
      <c r="L94" t="s">
        <v>174</v>
      </c>
      <c r="M94" t="s">
        <v>9</v>
      </c>
    </row>
    <row r="95" spans="1:13">
      <c r="A95" s="2">
        <v>42949</v>
      </c>
      <c r="B95" t="s">
        <v>65</v>
      </c>
      <c r="C95" s="1">
        <v>42719</v>
      </c>
      <c r="D95" t="s">
        <v>222</v>
      </c>
      <c r="E95" t="s">
        <v>214</v>
      </c>
      <c r="F95" t="s">
        <v>215</v>
      </c>
      <c r="G95" t="s">
        <v>0</v>
      </c>
      <c r="H95" t="s">
        <v>1</v>
      </c>
      <c r="I95" t="s">
        <v>2</v>
      </c>
      <c r="J95" t="s">
        <v>174</v>
      </c>
      <c r="K95" t="s">
        <v>417</v>
      </c>
      <c r="L95" t="s">
        <v>174</v>
      </c>
      <c r="M95" t="s">
        <v>9</v>
      </c>
    </row>
    <row r="96" spans="1:13">
      <c r="A96" s="2">
        <v>42950</v>
      </c>
      <c r="B96" t="s">
        <v>86</v>
      </c>
      <c r="C96" s="1">
        <v>42719</v>
      </c>
      <c r="D96" t="s">
        <v>418</v>
      </c>
      <c r="E96" t="s">
        <v>214</v>
      </c>
      <c r="F96" t="s">
        <v>215</v>
      </c>
      <c r="G96" t="s">
        <v>0</v>
      </c>
      <c r="H96" t="s">
        <v>1</v>
      </c>
      <c r="I96" t="s">
        <v>2</v>
      </c>
      <c r="J96" t="s">
        <v>174</v>
      </c>
      <c r="K96" t="s">
        <v>419</v>
      </c>
      <c r="L96" t="s">
        <v>174</v>
      </c>
      <c r="M96" t="s">
        <v>9</v>
      </c>
    </row>
    <row r="97" spans="1:13">
      <c r="A97" s="2">
        <v>42952</v>
      </c>
      <c r="B97" t="s">
        <v>65</v>
      </c>
      <c r="C97" s="1">
        <v>42719</v>
      </c>
      <c r="D97" t="s">
        <v>414</v>
      </c>
      <c r="E97" t="s">
        <v>214</v>
      </c>
      <c r="F97" t="s">
        <v>215</v>
      </c>
      <c r="G97" t="s">
        <v>0</v>
      </c>
      <c r="H97" t="s">
        <v>1</v>
      </c>
      <c r="I97" t="s">
        <v>2</v>
      </c>
      <c r="J97" t="s">
        <v>174</v>
      </c>
      <c r="K97" t="s">
        <v>420</v>
      </c>
      <c r="L97" t="s">
        <v>174</v>
      </c>
      <c r="M97" t="s">
        <v>9</v>
      </c>
    </row>
    <row r="98" spans="1:13">
      <c r="A98" s="2">
        <v>42953</v>
      </c>
      <c r="B98" t="s">
        <v>86</v>
      </c>
      <c r="C98" s="1">
        <v>42719</v>
      </c>
      <c r="D98" t="s">
        <v>421</v>
      </c>
      <c r="E98" t="s">
        <v>214</v>
      </c>
      <c r="F98" t="s">
        <v>215</v>
      </c>
      <c r="G98" t="s">
        <v>0</v>
      </c>
      <c r="H98" t="s">
        <v>1</v>
      </c>
      <c r="I98" t="s">
        <v>2</v>
      </c>
      <c r="J98" t="s">
        <v>174</v>
      </c>
      <c r="K98" t="s">
        <v>422</v>
      </c>
      <c r="L98" t="s">
        <v>174</v>
      </c>
      <c r="M98" t="s">
        <v>9</v>
      </c>
    </row>
    <row r="99" spans="1:13">
      <c r="A99" s="2">
        <v>42956</v>
      </c>
      <c r="B99" t="s">
        <v>65</v>
      </c>
      <c r="C99" s="1">
        <v>42719</v>
      </c>
      <c r="D99" t="s">
        <v>222</v>
      </c>
      <c r="E99" t="s">
        <v>214</v>
      </c>
      <c r="F99" t="s">
        <v>215</v>
      </c>
      <c r="G99" t="s">
        <v>0</v>
      </c>
      <c r="H99" t="s">
        <v>1</v>
      </c>
      <c r="I99" t="s">
        <v>2</v>
      </c>
      <c r="J99" t="s">
        <v>174</v>
      </c>
      <c r="K99" t="s">
        <v>423</v>
      </c>
      <c r="L99" t="s">
        <v>174</v>
      </c>
      <c r="M99" t="s">
        <v>9</v>
      </c>
    </row>
    <row r="100" spans="1:13">
      <c r="A100" s="2">
        <v>42957</v>
      </c>
      <c r="B100" t="s">
        <v>65</v>
      </c>
      <c r="C100" s="1">
        <v>42719</v>
      </c>
      <c r="D100" t="s">
        <v>222</v>
      </c>
      <c r="E100" t="s">
        <v>214</v>
      </c>
      <c r="F100" t="s">
        <v>215</v>
      </c>
      <c r="G100" t="s">
        <v>0</v>
      </c>
      <c r="H100" t="s">
        <v>1</v>
      </c>
      <c r="I100" t="s">
        <v>2</v>
      </c>
      <c r="J100" t="s">
        <v>174</v>
      </c>
      <c r="K100" t="s">
        <v>424</v>
      </c>
      <c r="L100" t="s">
        <v>174</v>
      </c>
      <c r="M100" t="s">
        <v>9</v>
      </c>
    </row>
    <row r="101" spans="1:13">
      <c r="A101" s="2">
        <v>42959</v>
      </c>
      <c r="B101" t="s">
        <v>86</v>
      </c>
      <c r="C101" s="1">
        <v>42719</v>
      </c>
      <c r="D101" t="s">
        <v>425</v>
      </c>
      <c r="E101" t="s">
        <v>214</v>
      </c>
      <c r="F101" t="s">
        <v>215</v>
      </c>
      <c r="G101" t="s">
        <v>0</v>
      </c>
      <c r="H101" t="s">
        <v>1</v>
      </c>
      <c r="I101" t="s">
        <v>2</v>
      </c>
      <c r="J101" t="s">
        <v>174</v>
      </c>
      <c r="K101" t="s">
        <v>426</v>
      </c>
      <c r="L101" t="s">
        <v>174</v>
      </c>
      <c r="M101" t="s">
        <v>9</v>
      </c>
    </row>
    <row r="102" spans="1:13">
      <c r="A102" s="2">
        <v>42965</v>
      </c>
      <c r="B102" t="s">
        <v>86</v>
      </c>
      <c r="C102" s="1">
        <v>42719</v>
      </c>
      <c r="D102" t="s">
        <v>421</v>
      </c>
      <c r="E102" t="s">
        <v>214</v>
      </c>
      <c r="F102" t="s">
        <v>215</v>
      </c>
      <c r="G102" t="s">
        <v>0</v>
      </c>
      <c r="H102" t="s">
        <v>1</v>
      </c>
      <c r="I102" t="s">
        <v>2</v>
      </c>
      <c r="J102" t="s">
        <v>174</v>
      </c>
      <c r="K102" t="s">
        <v>427</v>
      </c>
      <c r="L102" t="s">
        <v>174</v>
      </c>
      <c r="M102" t="s">
        <v>9</v>
      </c>
    </row>
    <row r="103" spans="1:13">
      <c r="A103" s="2">
        <v>42968</v>
      </c>
      <c r="B103" t="s">
        <v>24</v>
      </c>
      <c r="C103" s="1">
        <v>42719</v>
      </c>
      <c r="D103" t="s">
        <v>428</v>
      </c>
      <c r="E103" t="s">
        <v>429</v>
      </c>
      <c r="F103" t="s">
        <v>430</v>
      </c>
      <c r="G103" t="s">
        <v>0</v>
      </c>
      <c r="H103" t="s">
        <v>1</v>
      </c>
      <c r="I103" t="s">
        <v>2</v>
      </c>
      <c r="J103" t="s">
        <v>174</v>
      </c>
      <c r="K103" t="s">
        <v>431</v>
      </c>
      <c r="L103" t="s">
        <v>174</v>
      </c>
      <c r="M103" t="s">
        <v>9</v>
      </c>
    </row>
    <row r="104" spans="1:13">
      <c r="A104" s="2">
        <v>42974</v>
      </c>
      <c r="B104" t="s">
        <v>65</v>
      </c>
      <c r="C104" s="1">
        <v>42719</v>
      </c>
      <c r="D104" t="s">
        <v>222</v>
      </c>
      <c r="E104" t="s">
        <v>214</v>
      </c>
      <c r="F104" t="s">
        <v>215</v>
      </c>
      <c r="G104" t="s">
        <v>0</v>
      </c>
      <c r="H104" t="s">
        <v>1</v>
      </c>
      <c r="I104" t="s">
        <v>2</v>
      </c>
      <c r="J104" t="s">
        <v>174</v>
      </c>
      <c r="K104" t="s">
        <v>432</v>
      </c>
      <c r="L104" t="s">
        <v>174</v>
      </c>
      <c r="M104" t="s">
        <v>9</v>
      </c>
    </row>
    <row r="105" spans="1:13">
      <c r="A105" s="2">
        <v>42977</v>
      </c>
      <c r="B105" t="s">
        <v>65</v>
      </c>
      <c r="C105" s="1">
        <v>42719</v>
      </c>
      <c r="D105" t="s">
        <v>222</v>
      </c>
      <c r="E105" t="s">
        <v>214</v>
      </c>
      <c r="F105" t="s">
        <v>215</v>
      </c>
      <c r="G105" t="s">
        <v>0</v>
      </c>
      <c r="H105" t="s">
        <v>1</v>
      </c>
      <c r="I105" t="s">
        <v>2</v>
      </c>
      <c r="J105" t="s">
        <v>174</v>
      </c>
      <c r="K105" t="s">
        <v>433</v>
      </c>
      <c r="L105" t="s">
        <v>174</v>
      </c>
      <c r="M105" t="s">
        <v>9</v>
      </c>
    </row>
    <row r="106" spans="1:13">
      <c r="A106" s="2">
        <v>42979</v>
      </c>
      <c r="B106" t="s">
        <v>65</v>
      </c>
      <c r="C106" s="1">
        <v>42719</v>
      </c>
      <c r="D106" t="s">
        <v>222</v>
      </c>
      <c r="E106" t="s">
        <v>214</v>
      </c>
      <c r="F106" t="s">
        <v>215</v>
      </c>
      <c r="G106" t="s">
        <v>0</v>
      </c>
      <c r="H106" t="s">
        <v>1</v>
      </c>
      <c r="I106" t="s">
        <v>2</v>
      </c>
      <c r="J106" t="s">
        <v>174</v>
      </c>
      <c r="K106" t="s">
        <v>434</v>
      </c>
      <c r="L106" t="s">
        <v>174</v>
      </c>
      <c r="M106" t="s">
        <v>9</v>
      </c>
    </row>
    <row r="107" spans="1:13">
      <c r="A107" s="2">
        <v>42980</v>
      </c>
      <c r="B107" t="s">
        <v>65</v>
      </c>
      <c r="C107" s="1">
        <v>42719</v>
      </c>
      <c r="D107" t="s">
        <v>222</v>
      </c>
      <c r="E107" t="s">
        <v>214</v>
      </c>
      <c r="F107" t="s">
        <v>215</v>
      </c>
      <c r="G107" t="s">
        <v>0</v>
      </c>
      <c r="H107" t="s">
        <v>1</v>
      </c>
      <c r="I107" t="s">
        <v>2</v>
      </c>
      <c r="J107" t="s">
        <v>174</v>
      </c>
      <c r="K107" t="s">
        <v>435</v>
      </c>
      <c r="L107" t="s">
        <v>174</v>
      </c>
      <c r="M107" t="s">
        <v>9</v>
      </c>
    </row>
    <row r="108" spans="1:13">
      <c r="A108" s="2">
        <v>42988</v>
      </c>
      <c r="B108" t="s">
        <v>65</v>
      </c>
      <c r="C108" s="1">
        <v>42719</v>
      </c>
      <c r="D108" t="s">
        <v>222</v>
      </c>
      <c r="E108" t="s">
        <v>214</v>
      </c>
      <c r="F108" t="s">
        <v>215</v>
      </c>
      <c r="G108" t="s">
        <v>0</v>
      </c>
      <c r="H108" t="s">
        <v>1</v>
      </c>
      <c r="I108" t="s">
        <v>2</v>
      </c>
      <c r="J108" t="s">
        <v>174</v>
      </c>
      <c r="K108" t="s">
        <v>436</v>
      </c>
      <c r="L108" t="s">
        <v>174</v>
      </c>
      <c r="M108" t="s">
        <v>9</v>
      </c>
    </row>
    <row r="109" spans="1:13">
      <c r="A109" s="2">
        <v>42992</v>
      </c>
      <c r="B109" t="s">
        <v>24</v>
      </c>
      <c r="C109" s="1">
        <v>42719</v>
      </c>
      <c r="D109" t="s">
        <v>437</v>
      </c>
      <c r="E109" t="s">
        <v>171</v>
      </c>
      <c r="F109" t="s">
        <v>172</v>
      </c>
      <c r="G109" t="s">
        <v>0</v>
      </c>
      <c r="H109" t="s">
        <v>1</v>
      </c>
      <c r="I109" t="s">
        <v>2</v>
      </c>
      <c r="J109" t="s">
        <v>174</v>
      </c>
      <c r="K109" t="s">
        <v>438</v>
      </c>
      <c r="L109" t="s">
        <v>174</v>
      </c>
      <c r="M109" t="s">
        <v>9</v>
      </c>
    </row>
    <row r="110" spans="1:13">
      <c r="A110" s="2">
        <v>43003</v>
      </c>
      <c r="B110" t="s">
        <v>24</v>
      </c>
      <c r="C110" s="1">
        <v>42719</v>
      </c>
      <c r="D110" t="s">
        <v>418</v>
      </c>
      <c r="E110" t="s">
        <v>171</v>
      </c>
      <c r="F110" t="s">
        <v>172</v>
      </c>
      <c r="G110" t="s">
        <v>0</v>
      </c>
      <c r="H110" t="s">
        <v>1</v>
      </c>
      <c r="I110" t="s">
        <v>2</v>
      </c>
      <c r="J110" t="s">
        <v>174</v>
      </c>
      <c r="K110" t="s">
        <v>439</v>
      </c>
      <c r="L110" t="s">
        <v>174</v>
      </c>
      <c r="M110" t="s">
        <v>9</v>
      </c>
    </row>
    <row r="111" spans="1:13">
      <c r="A111" s="2">
        <v>43005</v>
      </c>
      <c r="B111" t="s">
        <v>86</v>
      </c>
      <c r="C111" s="1">
        <v>42719</v>
      </c>
      <c r="D111" t="s">
        <v>440</v>
      </c>
      <c r="E111" t="s">
        <v>214</v>
      </c>
      <c r="F111" t="s">
        <v>215</v>
      </c>
      <c r="G111" t="s">
        <v>0</v>
      </c>
      <c r="H111" t="s">
        <v>1</v>
      </c>
      <c r="I111" t="s">
        <v>2</v>
      </c>
      <c r="J111" t="s">
        <v>174</v>
      </c>
      <c r="K111" t="s">
        <v>441</v>
      </c>
      <c r="L111" t="s">
        <v>174</v>
      </c>
      <c r="M111" t="s">
        <v>9</v>
      </c>
    </row>
    <row r="112" spans="1:13">
      <c r="A112" s="2">
        <v>43006</v>
      </c>
      <c r="B112" t="s">
        <v>24</v>
      </c>
      <c r="C112" s="1">
        <v>42719</v>
      </c>
      <c r="D112" t="s">
        <v>442</v>
      </c>
      <c r="E112" t="s">
        <v>171</v>
      </c>
      <c r="F112" t="s">
        <v>172</v>
      </c>
      <c r="G112" t="s">
        <v>0</v>
      </c>
      <c r="H112" t="s">
        <v>1</v>
      </c>
      <c r="I112" t="s">
        <v>2</v>
      </c>
      <c r="J112" t="s">
        <v>174</v>
      </c>
      <c r="K112" t="s">
        <v>443</v>
      </c>
      <c r="L112" t="s">
        <v>174</v>
      </c>
      <c r="M112" t="s">
        <v>9</v>
      </c>
    </row>
    <row r="113" spans="1:13">
      <c r="A113" s="2">
        <v>43011</v>
      </c>
      <c r="B113" t="s">
        <v>86</v>
      </c>
      <c r="C113" s="1">
        <v>42719</v>
      </c>
      <c r="D113" t="s">
        <v>444</v>
      </c>
      <c r="E113" t="s">
        <v>214</v>
      </c>
      <c r="F113" t="s">
        <v>215</v>
      </c>
      <c r="G113" t="s">
        <v>0</v>
      </c>
      <c r="H113" t="s">
        <v>1</v>
      </c>
      <c r="I113" t="s">
        <v>2</v>
      </c>
      <c r="J113" t="s">
        <v>174</v>
      </c>
      <c r="K113" t="s">
        <v>445</v>
      </c>
      <c r="L113" t="s">
        <v>174</v>
      </c>
      <c r="M113" t="s">
        <v>9</v>
      </c>
    </row>
    <row r="114" spans="1:13">
      <c r="A114" s="2">
        <v>43012</v>
      </c>
      <c r="B114" t="s">
        <v>212</v>
      </c>
      <c r="C114" s="1">
        <v>42719</v>
      </c>
      <c r="D114" t="s">
        <v>446</v>
      </c>
      <c r="E114" t="s">
        <v>214</v>
      </c>
      <c r="F114" t="s">
        <v>215</v>
      </c>
      <c r="G114" t="s">
        <v>0</v>
      </c>
      <c r="H114" t="s">
        <v>1</v>
      </c>
      <c r="I114" t="s">
        <v>2</v>
      </c>
      <c r="J114" t="s">
        <v>174</v>
      </c>
      <c r="K114" t="s">
        <v>447</v>
      </c>
      <c r="L114" t="s">
        <v>174</v>
      </c>
      <c r="M114" t="s">
        <v>9</v>
      </c>
    </row>
    <row r="115" spans="1:13">
      <c r="A115" s="2">
        <v>43019</v>
      </c>
      <c r="B115" t="s">
        <v>65</v>
      </c>
      <c r="C115" s="1">
        <v>42719</v>
      </c>
      <c r="D115" t="s">
        <v>222</v>
      </c>
      <c r="E115" t="s">
        <v>214</v>
      </c>
      <c r="F115" t="s">
        <v>215</v>
      </c>
      <c r="G115" t="s">
        <v>0</v>
      </c>
      <c r="H115" t="s">
        <v>1</v>
      </c>
      <c r="I115" t="s">
        <v>2</v>
      </c>
      <c r="J115" t="s">
        <v>174</v>
      </c>
      <c r="K115" t="s">
        <v>448</v>
      </c>
      <c r="L115" t="s">
        <v>174</v>
      </c>
      <c r="M115" t="s">
        <v>9</v>
      </c>
    </row>
    <row r="116" spans="1:13">
      <c r="A116" s="2">
        <v>43020</v>
      </c>
      <c r="B116" t="s">
        <v>65</v>
      </c>
      <c r="C116" s="1">
        <v>42719</v>
      </c>
      <c r="D116" t="s">
        <v>222</v>
      </c>
      <c r="E116" t="s">
        <v>214</v>
      </c>
      <c r="F116" t="s">
        <v>215</v>
      </c>
      <c r="G116" t="s">
        <v>0</v>
      </c>
      <c r="H116" t="s">
        <v>1</v>
      </c>
      <c r="I116" t="s">
        <v>2</v>
      </c>
      <c r="J116" t="s">
        <v>174</v>
      </c>
      <c r="K116" t="s">
        <v>449</v>
      </c>
      <c r="L116" t="s">
        <v>174</v>
      </c>
      <c r="M116" t="s">
        <v>9</v>
      </c>
    </row>
    <row r="117" spans="1:13">
      <c r="A117" s="2">
        <v>43027</v>
      </c>
      <c r="B117" t="s">
        <v>65</v>
      </c>
      <c r="C117" s="1">
        <v>42719</v>
      </c>
      <c r="D117" t="s">
        <v>222</v>
      </c>
      <c r="E117" t="s">
        <v>214</v>
      </c>
      <c r="F117" t="s">
        <v>215</v>
      </c>
      <c r="G117" t="s">
        <v>0</v>
      </c>
      <c r="H117" t="s">
        <v>1</v>
      </c>
      <c r="I117" t="s">
        <v>2</v>
      </c>
      <c r="J117" t="s">
        <v>174</v>
      </c>
      <c r="K117" t="s">
        <v>450</v>
      </c>
      <c r="L117" t="s">
        <v>174</v>
      </c>
      <c r="M117" t="s">
        <v>9</v>
      </c>
    </row>
    <row r="118" spans="1:13">
      <c r="A118" s="2">
        <v>43029</v>
      </c>
      <c r="B118" t="s">
        <v>86</v>
      </c>
      <c r="C118" s="1">
        <v>42719</v>
      </c>
      <c r="D118" t="s">
        <v>451</v>
      </c>
      <c r="E118" t="s">
        <v>214</v>
      </c>
      <c r="F118" t="s">
        <v>215</v>
      </c>
      <c r="G118" t="s">
        <v>0</v>
      </c>
      <c r="H118" t="s">
        <v>1</v>
      </c>
      <c r="I118" t="s">
        <v>2</v>
      </c>
      <c r="J118" t="s">
        <v>174</v>
      </c>
      <c r="K118" t="s">
        <v>452</v>
      </c>
      <c r="L118" t="s">
        <v>174</v>
      </c>
      <c r="M118" t="s">
        <v>9</v>
      </c>
    </row>
    <row r="119" spans="1:13">
      <c r="A119" s="2">
        <v>43031</v>
      </c>
      <c r="B119" t="s">
        <v>65</v>
      </c>
      <c r="C119" s="1">
        <v>42719</v>
      </c>
      <c r="D119" t="s">
        <v>222</v>
      </c>
      <c r="E119" t="s">
        <v>214</v>
      </c>
      <c r="F119" t="s">
        <v>215</v>
      </c>
      <c r="G119" t="s">
        <v>0</v>
      </c>
      <c r="H119" t="s">
        <v>1</v>
      </c>
      <c r="I119" t="s">
        <v>2</v>
      </c>
      <c r="J119" t="s">
        <v>174</v>
      </c>
      <c r="K119" t="s">
        <v>453</v>
      </c>
      <c r="L119" t="s">
        <v>174</v>
      </c>
      <c r="M119" t="s">
        <v>9</v>
      </c>
    </row>
    <row r="120" spans="1:13">
      <c r="A120" s="2">
        <v>43032</v>
      </c>
      <c r="B120" t="s">
        <v>65</v>
      </c>
      <c r="C120" s="1">
        <v>42719</v>
      </c>
      <c r="D120" t="s">
        <v>222</v>
      </c>
      <c r="E120" t="s">
        <v>214</v>
      </c>
      <c r="F120" t="s">
        <v>215</v>
      </c>
      <c r="G120" t="s">
        <v>0</v>
      </c>
      <c r="H120" t="s">
        <v>1</v>
      </c>
      <c r="I120" t="s">
        <v>2</v>
      </c>
      <c r="J120" t="s">
        <v>174</v>
      </c>
      <c r="K120" t="s">
        <v>454</v>
      </c>
      <c r="L120" t="s">
        <v>174</v>
      </c>
      <c r="M120" t="s">
        <v>9</v>
      </c>
    </row>
    <row r="121" spans="1:13">
      <c r="A121" s="2">
        <v>43035</v>
      </c>
      <c r="B121" t="s">
        <v>65</v>
      </c>
      <c r="C121" s="1">
        <v>42719</v>
      </c>
      <c r="D121" t="s">
        <v>222</v>
      </c>
      <c r="E121" t="s">
        <v>214</v>
      </c>
      <c r="F121" t="s">
        <v>215</v>
      </c>
      <c r="G121" t="s">
        <v>0</v>
      </c>
      <c r="H121" t="s">
        <v>1</v>
      </c>
      <c r="I121" t="s">
        <v>2</v>
      </c>
      <c r="J121" t="s">
        <v>174</v>
      </c>
      <c r="K121" t="s">
        <v>455</v>
      </c>
      <c r="L121" t="s">
        <v>174</v>
      </c>
      <c r="M121" t="s">
        <v>9</v>
      </c>
    </row>
    <row r="122" spans="1:13">
      <c r="A122" s="2">
        <v>43038</v>
      </c>
      <c r="B122" t="s">
        <v>65</v>
      </c>
      <c r="C122" s="1">
        <v>42719</v>
      </c>
      <c r="D122" t="s">
        <v>222</v>
      </c>
      <c r="E122" t="s">
        <v>214</v>
      </c>
      <c r="F122" t="s">
        <v>215</v>
      </c>
      <c r="G122" t="s">
        <v>0</v>
      </c>
      <c r="H122" t="s">
        <v>1</v>
      </c>
      <c r="I122" t="s">
        <v>2</v>
      </c>
      <c r="J122" t="s">
        <v>174</v>
      </c>
      <c r="K122" t="s">
        <v>456</v>
      </c>
      <c r="L122" t="s">
        <v>174</v>
      </c>
      <c r="M122" t="s">
        <v>9</v>
      </c>
    </row>
    <row r="123" spans="1:13">
      <c r="A123" s="2">
        <v>43044</v>
      </c>
      <c r="B123" t="s">
        <v>86</v>
      </c>
      <c r="C123" s="1">
        <v>42719</v>
      </c>
      <c r="D123" t="s">
        <v>425</v>
      </c>
      <c r="E123" t="s">
        <v>214</v>
      </c>
      <c r="F123" t="s">
        <v>215</v>
      </c>
      <c r="G123" t="s">
        <v>0</v>
      </c>
      <c r="H123" t="s">
        <v>1</v>
      </c>
      <c r="I123" t="s">
        <v>2</v>
      </c>
      <c r="J123" t="s">
        <v>174</v>
      </c>
      <c r="K123" t="s">
        <v>457</v>
      </c>
      <c r="L123" t="s">
        <v>174</v>
      </c>
      <c r="M123" t="s">
        <v>9</v>
      </c>
    </row>
    <row r="124" spans="1:13">
      <c r="A124" s="2">
        <v>43048</v>
      </c>
      <c r="B124" t="s">
        <v>65</v>
      </c>
      <c r="C124" s="1">
        <v>42719</v>
      </c>
      <c r="D124" t="s">
        <v>222</v>
      </c>
      <c r="E124" t="s">
        <v>214</v>
      </c>
      <c r="F124" t="s">
        <v>215</v>
      </c>
      <c r="G124" t="s">
        <v>0</v>
      </c>
      <c r="H124" t="s">
        <v>1</v>
      </c>
      <c r="I124" t="s">
        <v>2</v>
      </c>
      <c r="J124" t="s">
        <v>174</v>
      </c>
      <c r="K124" t="s">
        <v>458</v>
      </c>
      <c r="L124" t="s">
        <v>174</v>
      </c>
      <c r="M124" t="s">
        <v>9</v>
      </c>
    </row>
    <row r="125" spans="1:13">
      <c r="A125" s="2">
        <v>43056</v>
      </c>
      <c r="B125" t="s">
        <v>65</v>
      </c>
      <c r="C125" s="1">
        <v>42719</v>
      </c>
      <c r="D125" t="s">
        <v>222</v>
      </c>
      <c r="E125" t="s">
        <v>214</v>
      </c>
      <c r="F125" t="s">
        <v>215</v>
      </c>
      <c r="G125" t="s">
        <v>0</v>
      </c>
      <c r="H125" t="s">
        <v>1</v>
      </c>
      <c r="I125" t="s">
        <v>2</v>
      </c>
      <c r="J125" t="s">
        <v>174</v>
      </c>
      <c r="K125" t="s">
        <v>459</v>
      </c>
      <c r="L125" t="s">
        <v>174</v>
      </c>
      <c r="M125" t="s">
        <v>9</v>
      </c>
    </row>
    <row r="126" spans="1:13">
      <c r="A126" s="2">
        <v>43059</v>
      </c>
      <c r="B126" t="s">
        <v>86</v>
      </c>
      <c r="C126" s="1">
        <v>42719</v>
      </c>
      <c r="D126" t="s">
        <v>440</v>
      </c>
      <c r="E126" t="s">
        <v>214</v>
      </c>
      <c r="F126" t="s">
        <v>215</v>
      </c>
      <c r="G126" t="s">
        <v>0</v>
      </c>
      <c r="H126" t="s">
        <v>1</v>
      </c>
      <c r="I126" t="s">
        <v>2</v>
      </c>
      <c r="J126" t="s">
        <v>174</v>
      </c>
      <c r="K126" t="s">
        <v>460</v>
      </c>
      <c r="L126" t="s">
        <v>174</v>
      </c>
      <c r="M126" t="s">
        <v>9</v>
      </c>
    </row>
    <row r="127" spans="1:13">
      <c r="A127" s="2">
        <v>43069</v>
      </c>
      <c r="B127" t="s">
        <v>24</v>
      </c>
      <c r="C127" s="1">
        <v>42719</v>
      </c>
      <c r="D127" t="s">
        <v>461</v>
      </c>
      <c r="E127" t="s">
        <v>195</v>
      </c>
      <c r="F127" t="s">
        <v>196</v>
      </c>
      <c r="G127" t="s">
        <v>0</v>
      </c>
      <c r="H127" t="s">
        <v>1</v>
      </c>
      <c r="I127" t="s">
        <v>2</v>
      </c>
      <c r="J127" t="s">
        <v>174</v>
      </c>
      <c r="K127" t="s">
        <v>462</v>
      </c>
      <c r="L127" t="s">
        <v>174</v>
      </c>
      <c r="M127" t="s">
        <v>9</v>
      </c>
    </row>
    <row r="128" spans="1:13">
      <c r="A128" s="2">
        <v>43076</v>
      </c>
      <c r="B128" t="s">
        <v>86</v>
      </c>
      <c r="C128" s="1">
        <v>42719</v>
      </c>
      <c r="D128" t="s">
        <v>440</v>
      </c>
      <c r="E128" t="s">
        <v>214</v>
      </c>
      <c r="F128" t="s">
        <v>215</v>
      </c>
      <c r="G128" t="s">
        <v>0</v>
      </c>
      <c r="H128" t="s">
        <v>1</v>
      </c>
      <c r="I128" t="s">
        <v>2</v>
      </c>
      <c r="J128" t="s">
        <v>174</v>
      </c>
      <c r="K128" t="s">
        <v>463</v>
      </c>
      <c r="L128" t="s">
        <v>174</v>
      </c>
      <c r="M128" t="s">
        <v>9</v>
      </c>
    </row>
    <row r="129" spans="1:13">
      <c r="A129" s="2">
        <v>43082</v>
      </c>
      <c r="B129" t="s">
        <v>86</v>
      </c>
      <c r="C129" s="1">
        <v>42719</v>
      </c>
      <c r="D129" t="s">
        <v>425</v>
      </c>
      <c r="E129" t="s">
        <v>214</v>
      </c>
      <c r="F129" t="s">
        <v>215</v>
      </c>
      <c r="G129" t="s">
        <v>0</v>
      </c>
      <c r="H129" t="s">
        <v>1</v>
      </c>
      <c r="I129" t="s">
        <v>2</v>
      </c>
      <c r="J129" t="s">
        <v>174</v>
      </c>
      <c r="K129" t="s">
        <v>464</v>
      </c>
      <c r="L129" t="s">
        <v>174</v>
      </c>
      <c r="M129" t="s">
        <v>9</v>
      </c>
    </row>
    <row r="130" spans="1:13">
      <c r="A130" s="2">
        <v>43085</v>
      </c>
      <c r="B130" t="s">
        <v>24</v>
      </c>
      <c r="C130" s="1">
        <v>42719</v>
      </c>
      <c r="D130" t="s">
        <v>465</v>
      </c>
      <c r="E130" t="s">
        <v>195</v>
      </c>
      <c r="F130" t="s">
        <v>196</v>
      </c>
      <c r="G130" t="s">
        <v>0</v>
      </c>
      <c r="H130" t="s">
        <v>1</v>
      </c>
      <c r="I130" t="s">
        <v>2</v>
      </c>
      <c r="J130" t="s">
        <v>174</v>
      </c>
      <c r="K130" t="s">
        <v>466</v>
      </c>
      <c r="L130" t="s">
        <v>174</v>
      </c>
      <c r="M130" t="s">
        <v>9</v>
      </c>
    </row>
    <row r="131" spans="1:13">
      <c r="A131" s="2">
        <v>43086</v>
      </c>
      <c r="B131" t="s">
        <v>65</v>
      </c>
      <c r="C131" s="1">
        <v>42719</v>
      </c>
      <c r="D131" t="s">
        <v>222</v>
      </c>
      <c r="E131" t="s">
        <v>214</v>
      </c>
      <c r="F131" t="s">
        <v>215</v>
      </c>
      <c r="G131" t="s">
        <v>0</v>
      </c>
      <c r="H131" t="s">
        <v>1</v>
      </c>
      <c r="I131" t="s">
        <v>2</v>
      </c>
      <c r="J131" t="s">
        <v>174</v>
      </c>
      <c r="K131" t="s">
        <v>467</v>
      </c>
      <c r="L131" t="s">
        <v>174</v>
      </c>
      <c r="M131" t="s">
        <v>9</v>
      </c>
    </row>
    <row r="132" spans="1:13">
      <c r="A132" s="2">
        <v>43088</v>
      </c>
      <c r="B132" t="s">
        <v>24</v>
      </c>
      <c r="C132" s="1">
        <v>42719</v>
      </c>
      <c r="D132" t="s">
        <v>461</v>
      </c>
      <c r="E132" t="s">
        <v>195</v>
      </c>
      <c r="F132" t="s">
        <v>196</v>
      </c>
      <c r="G132" t="s">
        <v>0</v>
      </c>
      <c r="H132" t="s">
        <v>1</v>
      </c>
      <c r="I132" t="s">
        <v>2</v>
      </c>
      <c r="J132" t="s">
        <v>174</v>
      </c>
      <c r="K132" t="s">
        <v>468</v>
      </c>
      <c r="L132" t="s">
        <v>174</v>
      </c>
      <c r="M132" t="s">
        <v>9</v>
      </c>
    </row>
    <row r="133" spans="1:13">
      <c r="A133" s="2">
        <v>43092</v>
      </c>
      <c r="B133" t="s">
        <v>65</v>
      </c>
      <c r="C133" s="1">
        <v>42719</v>
      </c>
      <c r="D133" t="s">
        <v>222</v>
      </c>
      <c r="E133" t="s">
        <v>214</v>
      </c>
      <c r="F133" t="s">
        <v>215</v>
      </c>
      <c r="G133" t="s">
        <v>0</v>
      </c>
      <c r="H133" t="s">
        <v>1</v>
      </c>
      <c r="I133" t="s">
        <v>2</v>
      </c>
      <c r="J133" t="s">
        <v>174</v>
      </c>
      <c r="K133" t="s">
        <v>469</v>
      </c>
      <c r="L133" t="s">
        <v>174</v>
      </c>
      <c r="M133" t="s">
        <v>9</v>
      </c>
    </row>
    <row r="134" spans="1:13">
      <c r="A134" s="2">
        <v>43103</v>
      </c>
      <c r="B134" t="s">
        <v>65</v>
      </c>
      <c r="C134" s="1">
        <v>42719</v>
      </c>
      <c r="D134" t="s">
        <v>222</v>
      </c>
      <c r="E134" t="s">
        <v>214</v>
      </c>
      <c r="F134" t="s">
        <v>215</v>
      </c>
      <c r="G134" t="s">
        <v>0</v>
      </c>
      <c r="H134" t="s">
        <v>1</v>
      </c>
      <c r="I134" t="s">
        <v>2</v>
      </c>
      <c r="J134" t="s">
        <v>174</v>
      </c>
      <c r="K134" t="s">
        <v>470</v>
      </c>
      <c r="L134" t="s">
        <v>174</v>
      </c>
      <c r="M134" t="s">
        <v>9</v>
      </c>
    </row>
    <row r="135" spans="1:13">
      <c r="A135" s="2">
        <v>43106</v>
      </c>
      <c r="B135" t="s">
        <v>3</v>
      </c>
      <c r="C135" s="1">
        <v>42719</v>
      </c>
      <c r="D135" t="s">
        <v>183</v>
      </c>
      <c r="E135" t="s">
        <v>171</v>
      </c>
      <c r="F135" t="s">
        <v>172</v>
      </c>
      <c r="G135" t="s">
        <v>0</v>
      </c>
      <c r="H135" t="s">
        <v>1</v>
      </c>
      <c r="I135" t="s">
        <v>2</v>
      </c>
      <c r="J135" t="s">
        <v>174</v>
      </c>
      <c r="K135" t="s">
        <v>471</v>
      </c>
      <c r="L135" t="s">
        <v>174</v>
      </c>
      <c r="M135" t="s">
        <v>9</v>
      </c>
    </row>
    <row r="136" spans="1:13">
      <c r="A136" s="2">
        <v>43116</v>
      </c>
      <c r="B136" t="s">
        <v>65</v>
      </c>
      <c r="C136" s="1">
        <v>42719</v>
      </c>
      <c r="D136" t="s">
        <v>222</v>
      </c>
      <c r="E136" t="s">
        <v>214</v>
      </c>
      <c r="F136" t="s">
        <v>215</v>
      </c>
      <c r="G136" t="s">
        <v>0</v>
      </c>
      <c r="H136" t="s">
        <v>1</v>
      </c>
      <c r="I136" t="s">
        <v>2</v>
      </c>
      <c r="J136" t="s">
        <v>174</v>
      </c>
      <c r="K136" t="s">
        <v>472</v>
      </c>
      <c r="L136" t="s">
        <v>174</v>
      </c>
      <c r="M136" t="s">
        <v>9</v>
      </c>
    </row>
    <row r="137" spans="1:13">
      <c r="A137" s="2">
        <v>138391</v>
      </c>
      <c r="B137" t="s">
        <v>65</v>
      </c>
      <c r="C137" s="1">
        <v>42719</v>
      </c>
      <c r="D137" t="s">
        <v>222</v>
      </c>
      <c r="E137" t="s">
        <v>214</v>
      </c>
      <c r="F137" t="s">
        <v>215</v>
      </c>
      <c r="G137" t="s">
        <v>0</v>
      </c>
      <c r="H137" t="s">
        <v>1</v>
      </c>
      <c r="I137" t="s">
        <v>2</v>
      </c>
      <c r="J137" t="s">
        <v>174</v>
      </c>
      <c r="K137" t="s">
        <v>689</v>
      </c>
      <c r="L137" t="s">
        <v>174</v>
      </c>
      <c r="M137" t="s">
        <v>9</v>
      </c>
    </row>
    <row r="138" spans="1:13">
      <c r="A138" s="2">
        <v>155814</v>
      </c>
      <c r="B138" t="s">
        <v>24</v>
      </c>
      <c r="C138" s="1">
        <v>42719</v>
      </c>
      <c r="D138" t="s">
        <v>714</v>
      </c>
      <c r="E138" t="s">
        <v>214</v>
      </c>
      <c r="F138" t="s">
        <v>215</v>
      </c>
      <c r="G138" t="s">
        <v>0</v>
      </c>
      <c r="H138" t="s">
        <v>1</v>
      </c>
      <c r="I138" t="s">
        <v>2</v>
      </c>
      <c r="J138" t="s">
        <v>174</v>
      </c>
      <c r="K138" t="s">
        <v>715</v>
      </c>
      <c r="L138" t="s">
        <v>174</v>
      </c>
      <c r="M138" t="s">
        <v>9</v>
      </c>
    </row>
    <row r="139" spans="1:13">
      <c r="A139" s="2">
        <v>161326</v>
      </c>
      <c r="B139" t="s">
        <v>24</v>
      </c>
      <c r="C139" s="1">
        <v>42719</v>
      </c>
      <c r="D139" t="s">
        <v>716</v>
      </c>
      <c r="E139" t="s">
        <v>171</v>
      </c>
      <c r="F139" t="s">
        <v>172</v>
      </c>
      <c r="G139" t="s">
        <v>0</v>
      </c>
      <c r="H139" t="s">
        <v>1</v>
      </c>
      <c r="I139" t="s">
        <v>2</v>
      </c>
      <c r="J139" t="s">
        <v>174</v>
      </c>
      <c r="K139" t="s">
        <v>717</v>
      </c>
      <c r="L139" t="s">
        <v>174</v>
      </c>
      <c r="M139" t="s">
        <v>9</v>
      </c>
    </row>
    <row r="140" spans="1:13">
      <c r="A140" s="2">
        <v>164294</v>
      </c>
      <c r="B140" t="s">
        <v>24</v>
      </c>
      <c r="C140" s="1">
        <v>42719</v>
      </c>
      <c r="D140" t="s">
        <v>714</v>
      </c>
      <c r="E140" t="s">
        <v>171</v>
      </c>
      <c r="F140" t="s">
        <v>172</v>
      </c>
      <c r="G140" t="s">
        <v>0</v>
      </c>
      <c r="H140" t="s">
        <v>1</v>
      </c>
      <c r="I140" t="s">
        <v>2</v>
      </c>
      <c r="J140" t="s">
        <v>174</v>
      </c>
      <c r="K140" t="s">
        <v>720</v>
      </c>
      <c r="L140" t="s">
        <v>174</v>
      </c>
      <c r="M140" t="s">
        <v>9</v>
      </c>
    </row>
    <row r="141" spans="1:13">
      <c r="A141" s="2">
        <v>164334</v>
      </c>
      <c r="B141" t="s">
        <v>65</v>
      </c>
      <c r="C141" s="1">
        <v>42719</v>
      </c>
      <c r="D141" t="s">
        <v>222</v>
      </c>
      <c r="E141" t="s">
        <v>214</v>
      </c>
      <c r="F141" t="s">
        <v>215</v>
      </c>
      <c r="G141" t="s">
        <v>0</v>
      </c>
      <c r="H141" t="s">
        <v>1</v>
      </c>
      <c r="I141" t="s">
        <v>2</v>
      </c>
      <c r="J141" t="s">
        <v>174</v>
      </c>
      <c r="K141" t="s">
        <v>721</v>
      </c>
      <c r="L141" t="s">
        <v>174</v>
      </c>
      <c r="M141" t="s">
        <v>9</v>
      </c>
    </row>
    <row r="142" spans="1:13">
      <c r="A142" s="2">
        <v>164342</v>
      </c>
      <c r="B142" t="s">
        <v>3</v>
      </c>
      <c r="C142" s="1">
        <v>42719</v>
      </c>
      <c r="D142" t="s">
        <v>722</v>
      </c>
      <c r="E142" t="s">
        <v>171</v>
      </c>
      <c r="F142" t="s">
        <v>172</v>
      </c>
      <c r="G142" t="s">
        <v>0</v>
      </c>
      <c r="H142" t="s">
        <v>1</v>
      </c>
      <c r="I142" t="s">
        <v>2</v>
      </c>
      <c r="J142" t="s">
        <v>174</v>
      </c>
      <c r="K142" t="s">
        <v>723</v>
      </c>
      <c r="L142" t="s">
        <v>174</v>
      </c>
      <c r="M142" t="s">
        <v>9</v>
      </c>
    </row>
    <row r="143" spans="1:13">
      <c r="A143" s="2">
        <v>164378</v>
      </c>
      <c r="B143" t="s">
        <v>24</v>
      </c>
      <c r="C143" s="1">
        <v>42719</v>
      </c>
      <c r="D143" t="s">
        <v>724</v>
      </c>
      <c r="E143" t="s">
        <v>171</v>
      </c>
      <c r="F143" t="s">
        <v>172</v>
      </c>
      <c r="G143" t="s">
        <v>0</v>
      </c>
      <c r="H143" t="s">
        <v>1</v>
      </c>
      <c r="I143" t="s">
        <v>2</v>
      </c>
      <c r="J143" t="s">
        <v>174</v>
      </c>
      <c r="K143" t="s">
        <v>725</v>
      </c>
      <c r="L143" t="s">
        <v>174</v>
      </c>
      <c r="M143" t="s">
        <v>9</v>
      </c>
    </row>
    <row r="144" spans="1:13">
      <c r="A144" s="2">
        <v>177629</v>
      </c>
      <c r="B144" t="s">
        <v>86</v>
      </c>
      <c r="C144" s="1">
        <v>42719</v>
      </c>
      <c r="D144" t="s">
        <v>421</v>
      </c>
      <c r="E144" t="s">
        <v>214</v>
      </c>
      <c r="F144" t="s">
        <v>215</v>
      </c>
      <c r="G144" t="s">
        <v>0</v>
      </c>
      <c r="H144" t="s">
        <v>1</v>
      </c>
      <c r="I144" t="s">
        <v>2</v>
      </c>
      <c r="J144" t="s">
        <v>174</v>
      </c>
      <c r="K144" t="s">
        <v>732</v>
      </c>
      <c r="L144" t="s">
        <v>174</v>
      </c>
      <c r="M144" t="s">
        <v>9</v>
      </c>
    </row>
    <row r="145" spans="1:13">
      <c r="A145" s="2">
        <v>177665</v>
      </c>
      <c r="B145" t="s">
        <v>3</v>
      </c>
      <c r="C145" s="1">
        <v>42719</v>
      </c>
      <c r="D145" t="s">
        <v>733</v>
      </c>
      <c r="E145" t="s">
        <v>171</v>
      </c>
      <c r="F145" t="s">
        <v>172</v>
      </c>
      <c r="G145" t="s">
        <v>0</v>
      </c>
      <c r="H145" t="s">
        <v>1</v>
      </c>
      <c r="I145" t="s">
        <v>2</v>
      </c>
      <c r="J145" t="s">
        <v>174</v>
      </c>
      <c r="K145" t="s">
        <v>734</v>
      </c>
      <c r="L145" t="s">
        <v>174</v>
      </c>
      <c r="M145" t="s">
        <v>9</v>
      </c>
    </row>
    <row r="146" spans="1:13">
      <c r="A146" s="2">
        <v>177697</v>
      </c>
      <c r="B146" t="s">
        <v>86</v>
      </c>
      <c r="C146" s="1">
        <v>42719</v>
      </c>
      <c r="D146" t="s">
        <v>440</v>
      </c>
      <c r="E146" t="s">
        <v>214</v>
      </c>
      <c r="F146" t="s">
        <v>215</v>
      </c>
      <c r="G146" t="s">
        <v>0</v>
      </c>
      <c r="H146" t="s">
        <v>1</v>
      </c>
      <c r="I146" t="s">
        <v>2</v>
      </c>
      <c r="J146" t="s">
        <v>174</v>
      </c>
      <c r="K146" t="s">
        <v>737</v>
      </c>
      <c r="L146" t="s">
        <v>174</v>
      </c>
      <c r="M146" t="s">
        <v>9</v>
      </c>
    </row>
    <row r="147" spans="1:13">
      <c r="A147" s="2">
        <v>177753</v>
      </c>
      <c r="B147" t="s">
        <v>24</v>
      </c>
      <c r="C147" s="1">
        <v>42719</v>
      </c>
      <c r="D147" t="s">
        <v>437</v>
      </c>
      <c r="E147" t="s">
        <v>171</v>
      </c>
      <c r="F147" t="s">
        <v>172</v>
      </c>
      <c r="G147" t="s">
        <v>0</v>
      </c>
      <c r="H147" t="s">
        <v>1</v>
      </c>
      <c r="I147" t="s">
        <v>2</v>
      </c>
      <c r="J147" t="s">
        <v>174</v>
      </c>
      <c r="K147" t="s">
        <v>738</v>
      </c>
      <c r="L147" t="s">
        <v>174</v>
      </c>
      <c r="M147" t="s">
        <v>9</v>
      </c>
    </row>
    <row r="148" spans="1:13">
      <c r="A148" s="2">
        <v>177757</v>
      </c>
      <c r="B148" t="s">
        <v>24</v>
      </c>
      <c r="C148" s="1">
        <v>42719</v>
      </c>
      <c r="D148" t="s">
        <v>739</v>
      </c>
      <c r="E148" t="s">
        <v>171</v>
      </c>
      <c r="F148" t="s">
        <v>172</v>
      </c>
      <c r="G148" t="s">
        <v>0</v>
      </c>
      <c r="H148" t="s">
        <v>1</v>
      </c>
      <c r="I148" t="s">
        <v>2</v>
      </c>
      <c r="J148" t="s">
        <v>174</v>
      </c>
      <c r="K148" t="s">
        <v>740</v>
      </c>
      <c r="L148" t="s">
        <v>174</v>
      </c>
      <c r="M148" t="s">
        <v>9</v>
      </c>
    </row>
    <row r="149" spans="1:13">
      <c r="A149" s="2">
        <v>177763</v>
      </c>
      <c r="B149" t="s">
        <v>24</v>
      </c>
      <c r="C149" s="1">
        <v>42719</v>
      </c>
      <c r="D149" t="s">
        <v>741</v>
      </c>
      <c r="E149" t="s">
        <v>195</v>
      </c>
      <c r="F149" t="s">
        <v>196</v>
      </c>
      <c r="G149" t="s">
        <v>0</v>
      </c>
      <c r="H149" t="s">
        <v>1</v>
      </c>
      <c r="I149" t="s">
        <v>2</v>
      </c>
      <c r="J149" t="s">
        <v>174</v>
      </c>
      <c r="K149" t="s">
        <v>742</v>
      </c>
      <c r="L149" t="s">
        <v>174</v>
      </c>
      <c r="M149" t="s">
        <v>9</v>
      </c>
    </row>
    <row r="150" spans="1:13">
      <c r="A150" s="2">
        <v>177817</v>
      </c>
      <c r="B150" t="s">
        <v>86</v>
      </c>
      <c r="C150" s="1">
        <v>42719</v>
      </c>
      <c r="D150" t="s">
        <v>451</v>
      </c>
      <c r="E150" t="s">
        <v>214</v>
      </c>
      <c r="F150" t="s">
        <v>215</v>
      </c>
      <c r="G150" t="s">
        <v>0</v>
      </c>
      <c r="H150" t="s">
        <v>1</v>
      </c>
      <c r="I150" t="s">
        <v>2</v>
      </c>
      <c r="J150" t="s">
        <v>174</v>
      </c>
      <c r="K150" t="s">
        <v>743</v>
      </c>
      <c r="L150" t="s">
        <v>174</v>
      </c>
      <c r="M150" t="s">
        <v>9</v>
      </c>
    </row>
    <row r="151" spans="1:13">
      <c r="A151" s="2">
        <v>177865</v>
      </c>
      <c r="B151" t="s">
        <v>65</v>
      </c>
      <c r="C151" s="1">
        <v>42719</v>
      </c>
      <c r="D151" t="s">
        <v>222</v>
      </c>
      <c r="E151" t="s">
        <v>214</v>
      </c>
      <c r="F151" t="s">
        <v>215</v>
      </c>
      <c r="G151" t="s">
        <v>0</v>
      </c>
      <c r="H151" t="s">
        <v>1</v>
      </c>
      <c r="I151" t="s">
        <v>2</v>
      </c>
      <c r="J151" t="s">
        <v>174</v>
      </c>
      <c r="K151" t="s">
        <v>746</v>
      </c>
      <c r="L151" t="s">
        <v>174</v>
      </c>
      <c r="M151" t="s">
        <v>9</v>
      </c>
    </row>
    <row r="152" spans="1:13">
      <c r="A152" s="2">
        <v>188628</v>
      </c>
      <c r="B152" t="s">
        <v>65</v>
      </c>
      <c r="C152" s="1">
        <v>42719</v>
      </c>
      <c r="D152" t="s">
        <v>222</v>
      </c>
      <c r="E152" t="s">
        <v>214</v>
      </c>
      <c r="F152" t="s">
        <v>215</v>
      </c>
      <c r="G152" t="s">
        <v>0</v>
      </c>
      <c r="H152" t="s">
        <v>1</v>
      </c>
      <c r="I152" t="s">
        <v>2</v>
      </c>
      <c r="J152" t="s">
        <v>174</v>
      </c>
      <c r="K152" t="s">
        <v>782</v>
      </c>
      <c r="L152" t="s">
        <v>174</v>
      </c>
      <c r="M152" t="s">
        <v>9</v>
      </c>
    </row>
    <row r="153" spans="1:13">
      <c r="A153" s="2">
        <v>576</v>
      </c>
      <c r="B153" t="s">
        <v>3</v>
      </c>
      <c r="C153" s="1">
        <v>43317</v>
      </c>
      <c r="D153" t="s">
        <v>4</v>
      </c>
      <c r="E153" t="s">
        <v>5</v>
      </c>
      <c r="F153" t="s">
        <v>6</v>
      </c>
      <c r="G153" t="s">
        <v>0</v>
      </c>
      <c r="H153" t="s">
        <v>1</v>
      </c>
      <c r="I153" t="s">
        <v>2</v>
      </c>
      <c r="J153" t="s">
        <v>8</v>
      </c>
      <c r="K153" t="s">
        <v>7</v>
      </c>
      <c r="L153" t="s">
        <v>8</v>
      </c>
      <c r="M153" t="s">
        <v>9</v>
      </c>
    </row>
    <row r="154" spans="1:13">
      <c r="A154" s="2">
        <v>577</v>
      </c>
      <c r="B154" t="s">
        <v>3</v>
      </c>
      <c r="C154" s="1">
        <v>43318</v>
      </c>
      <c r="D154" t="s">
        <v>10</v>
      </c>
      <c r="E154" t="s">
        <v>5</v>
      </c>
      <c r="F154" t="s">
        <v>6</v>
      </c>
      <c r="G154" t="s">
        <v>0</v>
      </c>
      <c r="H154" t="s">
        <v>1</v>
      </c>
      <c r="I154" t="s">
        <v>2</v>
      </c>
      <c r="J154" t="s">
        <v>8</v>
      </c>
      <c r="K154" t="s">
        <v>11</v>
      </c>
      <c r="L154" t="s">
        <v>8</v>
      </c>
      <c r="M154" t="s">
        <v>9</v>
      </c>
    </row>
    <row r="155" spans="1:13">
      <c r="A155" s="2">
        <v>581</v>
      </c>
      <c r="B155" t="s">
        <v>3</v>
      </c>
      <c r="C155" s="1">
        <v>43322</v>
      </c>
      <c r="D155" t="s">
        <v>12</v>
      </c>
      <c r="E155" t="s">
        <v>5</v>
      </c>
      <c r="F155" t="s">
        <v>6</v>
      </c>
      <c r="G155" t="s">
        <v>0</v>
      </c>
      <c r="H155" t="s">
        <v>1</v>
      </c>
      <c r="I155" t="s">
        <v>2</v>
      </c>
      <c r="J155" t="s">
        <v>8</v>
      </c>
      <c r="K155" t="s">
        <v>13</v>
      </c>
      <c r="L155" t="s">
        <v>8</v>
      </c>
      <c r="M155" t="s">
        <v>9</v>
      </c>
    </row>
    <row r="156" spans="1:13">
      <c r="A156" s="2">
        <v>582</v>
      </c>
      <c r="B156" t="s">
        <v>3</v>
      </c>
      <c r="C156" s="1">
        <v>43325</v>
      </c>
      <c r="D156" t="s">
        <v>14</v>
      </c>
      <c r="E156" t="s">
        <v>5</v>
      </c>
      <c r="F156" t="s">
        <v>6</v>
      </c>
      <c r="G156" t="s">
        <v>0</v>
      </c>
      <c r="H156" t="s">
        <v>1</v>
      </c>
      <c r="I156" t="s">
        <v>2</v>
      </c>
      <c r="J156" t="s">
        <v>8</v>
      </c>
      <c r="K156" t="s">
        <v>15</v>
      </c>
      <c r="L156" t="s">
        <v>8</v>
      </c>
      <c r="M156" t="s">
        <v>9</v>
      </c>
    </row>
    <row r="157" spans="1:13">
      <c r="A157" s="2">
        <v>584</v>
      </c>
      <c r="B157" t="s">
        <v>3</v>
      </c>
      <c r="C157" s="1">
        <v>43325</v>
      </c>
      <c r="D157" t="s">
        <v>16</v>
      </c>
      <c r="E157" t="s">
        <v>5</v>
      </c>
      <c r="F157" t="s">
        <v>6</v>
      </c>
      <c r="G157" t="s">
        <v>0</v>
      </c>
      <c r="H157" t="s">
        <v>1</v>
      </c>
      <c r="I157" t="s">
        <v>2</v>
      </c>
      <c r="J157" t="s">
        <v>8</v>
      </c>
      <c r="K157" t="s">
        <v>17</v>
      </c>
      <c r="L157" t="s">
        <v>8</v>
      </c>
      <c r="M157" t="s">
        <v>9</v>
      </c>
    </row>
    <row r="158" spans="1:13">
      <c r="A158" s="2">
        <v>586</v>
      </c>
      <c r="B158" t="s">
        <v>3</v>
      </c>
      <c r="C158" s="1">
        <v>43319</v>
      </c>
      <c r="D158" t="s">
        <v>18</v>
      </c>
      <c r="E158" t="s">
        <v>5</v>
      </c>
      <c r="F158" t="s">
        <v>6</v>
      </c>
      <c r="G158" t="s">
        <v>0</v>
      </c>
      <c r="H158" t="s">
        <v>1</v>
      </c>
      <c r="I158" t="s">
        <v>2</v>
      </c>
      <c r="J158" t="s">
        <v>8</v>
      </c>
      <c r="K158" t="s">
        <v>19</v>
      </c>
      <c r="L158" t="s">
        <v>8</v>
      </c>
      <c r="M158" t="s">
        <v>9</v>
      </c>
    </row>
    <row r="159" spans="1:13">
      <c r="A159" s="2">
        <v>587</v>
      </c>
      <c r="B159" t="s">
        <v>3</v>
      </c>
      <c r="C159" s="1">
        <v>43317</v>
      </c>
      <c r="D159" t="s">
        <v>20</v>
      </c>
      <c r="E159" t="s">
        <v>5</v>
      </c>
      <c r="F159" t="s">
        <v>6</v>
      </c>
      <c r="G159" t="s">
        <v>0</v>
      </c>
      <c r="H159" t="s">
        <v>1</v>
      </c>
      <c r="I159" t="s">
        <v>2</v>
      </c>
      <c r="J159" t="s">
        <v>8</v>
      </c>
      <c r="K159" t="s">
        <v>21</v>
      </c>
      <c r="L159" t="s">
        <v>8</v>
      </c>
      <c r="M159" t="s">
        <v>9</v>
      </c>
    </row>
    <row r="160" spans="1:13">
      <c r="A160" s="2">
        <v>588</v>
      </c>
      <c r="B160" t="s">
        <v>3</v>
      </c>
      <c r="C160" s="1">
        <v>43319</v>
      </c>
      <c r="D160" t="s">
        <v>22</v>
      </c>
      <c r="E160" t="s">
        <v>5</v>
      </c>
      <c r="F160" t="s">
        <v>6</v>
      </c>
      <c r="G160" t="s">
        <v>0</v>
      </c>
      <c r="H160" t="s">
        <v>1</v>
      </c>
      <c r="I160" t="s">
        <v>2</v>
      </c>
      <c r="J160" t="s">
        <v>8</v>
      </c>
      <c r="K160" t="s">
        <v>23</v>
      </c>
      <c r="L160" t="s">
        <v>8</v>
      </c>
      <c r="M160" t="s">
        <v>9</v>
      </c>
    </row>
    <row r="161" spans="1:13">
      <c r="A161" s="2">
        <v>589</v>
      </c>
      <c r="B161" t="s">
        <v>24</v>
      </c>
      <c r="C161" s="1">
        <v>43339</v>
      </c>
      <c r="D161" t="s">
        <v>25</v>
      </c>
      <c r="E161" t="s">
        <v>5</v>
      </c>
      <c r="F161" t="s">
        <v>6</v>
      </c>
      <c r="G161" t="s">
        <v>0</v>
      </c>
      <c r="H161" t="s">
        <v>1</v>
      </c>
      <c r="I161" t="s">
        <v>2</v>
      </c>
      <c r="J161" t="s">
        <v>8</v>
      </c>
      <c r="K161" t="s">
        <v>26</v>
      </c>
      <c r="L161" t="s">
        <v>8</v>
      </c>
      <c r="M161" t="s">
        <v>9</v>
      </c>
    </row>
    <row r="162" spans="1:13">
      <c r="A162" s="2">
        <v>592</v>
      </c>
      <c r="B162" t="s">
        <v>3</v>
      </c>
      <c r="C162" s="1">
        <v>43317</v>
      </c>
      <c r="D162" t="s">
        <v>27</v>
      </c>
      <c r="E162" t="s">
        <v>5</v>
      </c>
      <c r="F162" t="s">
        <v>6</v>
      </c>
      <c r="G162" t="s">
        <v>0</v>
      </c>
      <c r="H162" t="s">
        <v>1</v>
      </c>
      <c r="I162" t="s">
        <v>2</v>
      </c>
      <c r="J162" t="s">
        <v>8</v>
      </c>
      <c r="K162" t="s">
        <v>28</v>
      </c>
      <c r="L162" t="s">
        <v>8</v>
      </c>
      <c r="M162" t="s">
        <v>9</v>
      </c>
    </row>
    <row r="163" spans="1:13">
      <c r="A163" s="2">
        <v>593</v>
      </c>
      <c r="B163" t="s">
        <v>3</v>
      </c>
      <c r="C163" s="1">
        <v>43308</v>
      </c>
      <c r="D163" t="s">
        <v>29</v>
      </c>
      <c r="E163" t="s">
        <v>5</v>
      </c>
      <c r="F163" t="s">
        <v>6</v>
      </c>
      <c r="G163" t="s">
        <v>0</v>
      </c>
      <c r="H163" t="s">
        <v>1</v>
      </c>
      <c r="I163" t="s">
        <v>2</v>
      </c>
      <c r="J163" t="s">
        <v>8</v>
      </c>
      <c r="K163" t="s">
        <v>30</v>
      </c>
      <c r="L163" t="s">
        <v>8</v>
      </c>
      <c r="M163" t="s">
        <v>9</v>
      </c>
    </row>
    <row r="164" spans="1:13">
      <c r="A164" s="2">
        <v>594</v>
      </c>
      <c r="B164" t="s">
        <v>3</v>
      </c>
      <c r="C164" s="1">
        <v>43317</v>
      </c>
      <c r="D164" t="s">
        <v>31</v>
      </c>
      <c r="E164" t="s">
        <v>5</v>
      </c>
      <c r="F164" t="s">
        <v>6</v>
      </c>
      <c r="G164" t="s">
        <v>0</v>
      </c>
      <c r="H164" t="s">
        <v>1</v>
      </c>
      <c r="I164" t="s">
        <v>2</v>
      </c>
      <c r="J164" t="s">
        <v>8</v>
      </c>
      <c r="K164" t="s">
        <v>32</v>
      </c>
      <c r="L164" t="s">
        <v>8</v>
      </c>
      <c r="M164" t="s">
        <v>9</v>
      </c>
    </row>
    <row r="165" spans="1:13">
      <c r="A165" s="2">
        <v>595</v>
      </c>
      <c r="B165" t="s">
        <v>3</v>
      </c>
      <c r="C165" s="1">
        <v>43319</v>
      </c>
      <c r="D165" t="s">
        <v>33</v>
      </c>
      <c r="E165" t="s">
        <v>5</v>
      </c>
      <c r="F165" t="s">
        <v>6</v>
      </c>
      <c r="G165" t="s">
        <v>0</v>
      </c>
      <c r="H165" t="s">
        <v>1</v>
      </c>
      <c r="I165" t="s">
        <v>2</v>
      </c>
      <c r="J165" t="s">
        <v>8</v>
      </c>
      <c r="K165" t="s">
        <v>34</v>
      </c>
      <c r="L165" t="s">
        <v>8</v>
      </c>
      <c r="M165" t="s">
        <v>9</v>
      </c>
    </row>
    <row r="166" spans="1:13">
      <c r="A166" s="2">
        <v>596</v>
      </c>
      <c r="B166" t="s">
        <v>3</v>
      </c>
      <c r="C166" s="1">
        <v>43322</v>
      </c>
      <c r="D166" t="s">
        <v>35</v>
      </c>
      <c r="E166" t="s">
        <v>5</v>
      </c>
      <c r="F166" t="s">
        <v>6</v>
      </c>
      <c r="G166" t="s">
        <v>0</v>
      </c>
      <c r="H166" t="s">
        <v>1</v>
      </c>
      <c r="I166" t="s">
        <v>2</v>
      </c>
      <c r="J166" t="s">
        <v>8</v>
      </c>
      <c r="K166" t="s">
        <v>36</v>
      </c>
      <c r="L166" t="s">
        <v>8</v>
      </c>
      <c r="M166" t="s">
        <v>9</v>
      </c>
    </row>
    <row r="167" spans="1:13">
      <c r="A167" s="2">
        <v>598</v>
      </c>
      <c r="B167" t="s">
        <v>24</v>
      </c>
      <c r="C167" s="1">
        <v>43322</v>
      </c>
      <c r="D167" t="s">
        <v>37</v>
      </c>
      <c r="E167" t="s">
        <v>5</v>
      </c>
      <c r="F167" t="s">
        <v>6</v>
      </c>
      <c r="G167" t="s">
        <v>0</v>
      </c>
      <c r="H167" t="s">
        <v>1</v>
      </c>
      <c r="I167" t="s">
        <v>2</v>
      </c>
      <c r="J167" t="s">
        <v>8</v>
      </c>
      <c r="K167" t="s">
        <v>38</v>
      </c>
      <c r="L167" t="s">
        <v>8</v>
      </c>
      <c r="M167" t="s">
        <v>9</v>
      </c>
    </row>
    <row r="168" spans="1:13">
      <c r="A168" s="2">
        <v>599</v>
      </c>
      <c r="B168" t="s">
        <v>3</v>
      </c>
      <c r="C168" s="1">
        <v>43325</v>
      </c>
      <c r="D168" t="s">
        <v>39</v>
      </c>
      <c r="E168" t="s">
        <v>5</v>
      </c>
      <c r="F168" t="s">
        <v>6</v>
      </c>
      <c r="G168" t="s">
        <v>0</v>
      </c>
      <c r="H168" t="s">
        <v>1</v>
      </c>
      <c r="I168" t="s">
        <v>2</v>
      </c>
      <c r="J168" t="s">
        <v>8</v>
      </c>
      <c r="K168" t="s">
        <v>40</v>
      </c>
      <c r="L168" t="s">
        <v>8</v>
      </c>
      <c r="M168" t="s">
        <v>9</v>
      </c>
    </row>
    <row r="169" spans="1:13">
      <c r="A169" s="2">
        <v>601</v>
      </c>
      <c r="B169" t="s">
        <v>3</v>
      </c>
      <c r="C169" s="1">
        <v>43309</v>
      </c>
      <c r="D169" t="s">
        <v>41</v>
      </c>
      <c r="E169" t="s">
        <v>5</v>
      </c>
      <c r="F169" t="s">
        <v>6</v>
      </c>
      <c r="G169" t="s">
        <v>0</v>
      </c>
      <c r="H169" t="s">
        <v>1</v>
      </c>
      <c r="I169" t="s">
        <v>2</v>
      </c>
      <c r="J169" t="s">
        <v>8</v>
      </c>
      <c r="K169" t="s">
        <v>42</v>
      </c>
      <c r="L169" t="s">
        <v>8</v>
      </c>
      <c r="M169" t="s">
        <v>9</v>
      </c>
    </row>
    <row r="170" spans="1:13">
      <c r="A170" s="2">
        <v>603</v>
      </c>
      <c r="B170" t="s">
        <v>3</v>
      </c>
      <c r="C170" s="1">
        <v>43317</v>
      </c>
      <c r="D170" t="s">
        <v>43</v>
      </c>
      <c r="E170" t="s">
        <v>5</v>
      </c>
      <c r="F170" t="s">
        <v>6</v>
      </c>
      <c r="G170" t="s">
        <v>0</v>
      </c>
      <c r="H170" t="s">
        <v>1</v>
      </c>
      <c r="I170" t="s">
        <v>2</v>
      </c>
      <c r="J170" t="s">
        <v>8</v>
      </c>
      <c r="K170" t="s">
        <v>44</v>
      </c>
      <c r="L170" t="s">
        <v>8</v>
      </c>
      <c r="M170" t="s">
        <v>9</v>
      </c>
    </row>
    <row r="171" spans="1:13">
      <c r="A171" s="2">
        <v>607</v>
      </c>
      <c r="B171" t="s">
        <v>3</v>
      </c>
      <c r="C171" s="1">
        <v>43374</v>
      </c>
      <c r="D171" t="s">
        <v>45</v>
      </c>
      <c r="E171" t="s">
        <v>5</v>
      </c>
      <c r="F171" t="s">
        <v>6</v>
      </c>
      <c r="G171" t="s">
        <v>0</v>
      </c>
      <c r="H171" t="s">
        <v>1</v>
      </c>
      <c r="I171" t="s">
        <v>2</v>
      </c>
      <c r="J171" t="s">
        <v>8</v>
      </c>
      <c r="K171" t="s">
        <v>46</v>
      </c>
      <c r="L171" t="s">
        <v>8</v>
      </c>
      <c r="M171" t="s">
        <v>9</v>
      </c>
    </row>
    <row r="172" spans="1:13">
      <c r="A172" s="2">
        <v>610</v>
      </c>
      <c r="B172" t="s">
        <v>3</v>
      </c>
      <c r="C172" s="1">
        <v>43317</v>
      </c>
      <c r="D172" t="s">
        <v>47</v>
      </c>
      <c r="E172" t="s">
        <v>5</v>
      </c>
      <c r="F172" t="s">
        <v>6</v>
      </c>
      <c r="G172" t="s">
        <v>0</v>
      </c>
      <c r="H172" t="s">
        <v>1</v>
      </c>
      <c r="I172" t="s">
        <v>2</v>
      </c>
      <c r="J172" t="s">
        <v>8</v>
      </c>
      <c r="K172" t="s">
        <v>48</v>
      </c>
      <c r="L172" t="s">
        <v>8</v>
      </c>
      <c r="M172" t="s">
        <v>9</v>
      </c>
    </row>
    <row r="173" spans="1:13">
      <c r="A173" s="2">
        <v>612</v>
      </c>
      <c r="B173" t="s">
        <v>3</v>
      </c>
      <c r="C173" s="1">
        <v>43317</v>
      </c>
      <c r="D173" t="s">
        <v>49</v>
      </c>
      <c r="E173" t="s">
        <v>5</v>
      </c>
      <c r="F173" t="s">
        <v>6</v>
      </c>
      <c r="G173" t="s">
        <v>0</v>
      </c>
      <c r="H173" t="s">
        <v>1</v>
      </c>
      <c r="I173" t="s">
        <v>2</v>
      </c>
      <c r="J173" t="s">
        <v>8</v>
      </c>
      <c r="K173" t="s">
        <v>50</v>
      </c>
      <c r="L173" t="s">
        <v>8</v>
      </c>
      <c r="M173" t="s">
        <v>9</v>
      </c>
    </row>
    <row r="174" spans="1:13">
      <c r="A174" s="2">
        <v>617</v>
      </c>
      <c r="B174" t="s">
        <v>3</v>
      </c>
      <c r="C174" s="1">
        <v>43324</v>
      </c>
      <c r="D174" t="s">
        <v>51</v>
      </c>
      <c r="E174" t="s">
        <v>5</v>
      </c>
      <c r="F174" t="s">
        <v>6</v>
      </c>
      <c r="G174" t="s">
        <v>0</v>
      </c>
      <c r="H174" t="s">
        <v>1</v>
      </c>
      <c r="I174" t="s">
        <v>2</v>
      </c>
      <c r="J174" t="s">
        <v>8</v>
      </c>
      <c r="K174" t="s">
        <v>52</v>
      </c>
      <c r="L174" t="s">
        <v>8</v>
      </c>
      <c r="M174" t="s">
        <v>9</v>
      </c>
    </row>
    <row r="175" spans="1:13">
      <c r="A175" s="2">
        <v>618</v>
      </c>
      <c r="B175" t="s">
        <v>3</v>
      </c>
      <c r="C175" s="1">
        <v>43322</v>
      </c>
      <c r="D175" t="s">
        <v>53</v>
      </c>
      <c r="E175" t="s">
        <v>5</v>
      </c>
      <c r="F175" t="s">
        <v>6</v>
      </c>
      <c r="G175" t="s">
        <v>0</v>
      </c>
      <c r="H175" t="s">
        <v>1</v>
      </c>
      <c r="I175" t="s">
        <v>2</v>
      </c>
      <c r="J175" t="s">
        <v>8</v>
      </c>
      <c r="K175" t="s">
        <v>54</v>
      </c>
      <c r="L175" t="s">
        <v>8</v>
      </c>
      <c r="M175" t="s">
        <v>9</v>
      </c>
    </row>
    <row r="176" spans="1:13">
      <c r="A176" s="2">
        <v>619</v>
      </c>
      <c r="B176" t="s">
        <v>3</v>
      </c>
      <c r="C176" s="1">
        <v>43317</v>
      </c>
      <c r="D176" t="s">
        <v>55</v>
      </c>
      <c r="E176" t="s">
        <v>5</v>
      </c>
      <c r="F176" t="s">
        <v>6</v>
      </c>
      <c r="G176" t="s">
        <v>0</v>
      </c>
      <c r="H176" t="s">
        <v>1</v>
      </c>
      <c r="I176" t="s">
        <v>2</v>
      </c>
      <c r="J176" t="s">
        <v>8</v>
      </c>
      <c r="K176" t="s">
        <v>56</v>
      </c>
      <c r="L176" t="s">
        <v>8</v>
      </c>
      <c r="M176" t="s">
        <v>9</v>
      </c>
    </row>
    <row r="177" spans="1:13">
      <c r="A177" s="2">
        <v>625</v>
      </c>
      <c r="B177" t="s">
        <v>3</v>
      </c>
      <c r="C177" s="1">
        <v>43374</v>
      </c>
      <c r="D177" t="s">
        <v>57</v>
      </c>
      <c r="E177" t="s">
        <v>5</v>
      </c>
      <c r="F177" t="s">
        <v>6</v>
      </c>
      <c r="G177" t="s">
        <v>0</v>
      </c>
      <c r="H177" t="s">
        <v>1</v>
      </c>
      <c r="I177" t="s">
        <v>2</v>
      </c>
      <c r="J177" t="s">
        <v>8</v>
      </c>
      <c r="K177" t="s">
        <v>58</v>
      </c>
      <c r="L177" t="s">
        <v>8</v>
      </c>
      <c r="M177" t="s">
        <v>9</v>
      </c>
    </row>
    <row r="178" spans="1:13">
      <c r="A178" s="2">
        <v>628</v>
      </c>
      <c r="B178" t="s">
        <v>3</v>
      </c>
      <c r="C178" s="1">
        <v>43374</v>
      </c>
      <c r="D178" t="s">
        <v>59</v>
      </c>
      <c r="E178" t="s">
        <v>5</v>
      </c>
      <c r="F178" t="s">
        <v>6</v>
      </c>
      <c r="G178" t="s">
        <v>0</v>
      </c>
      <c r="H178" t="s">
        <v>1</v>
      </c>
      <c r="I178" t="s">
        <v>2</v>
      </c>
      <c r="J178" t="s">
        <v>8</v>
      </c>
      <c r="K178" t="s">
        <v>60</v>
      </c>
      <c r="L178" t="s">
        <v>8</v>
      </c>
      <c r="M178" t="s">
        <v>9</v>
      </c>
    </row>
    <row r="179" spans="1:13">
      <c r="A179" s="2">
        <v>632</v>
      </c>
      <c r="B179" t="s">
        <v>3</v>
      </c>
      <c r="C179" s="1">
        <v>43322</v>
      </c>
      <c r="D179" t="s">
        <v>61</v>
      </c>
      <c r="E179" t="s">
        <v>5</v>
      </c>
      <c r="F179" t="s">
        <v>6</v>
      </c>
      <c r="G179" t="s">
        <v>0</v>
      </c>
      <c r="H179" t="s">
        <v>1</v>
      </c>
      <c r="I179" t="s">
        <v>2</v>
      </c>
      <c r="J179" t="s">
        <v>8</v>
      </c>
      <c r="K179" t="s">
        <v>62</v>
      </c>
      <c r="L179" t="s">
        <v>8</v>
      </c>
      <c r="M179" t="s">
        <v>9</v>
      </c>
    </row>
    <row r="180" spans="1:13">
      <c r="A180" s="2">
        <v>636</v>
      </c>
      <c r="B180" t="s">
        <v>3</v>
      </c>
      <c r="C180" s="1">
        <v>43211</v>
      </c>
      <c r="D180" t="s">
        <v>63</v>
      </c>
      <c r="E180" t="s">
        <v>5</v>
      </c>
      <c r="F180" t="s">
        <v>6</v>
      </c>
      <c r="G180" t="s">
        <v>0</v>
      </c>
      <c r="H180" t="s">
        <v>1</v>
      </c>
      <c r="I180" t="s">
        <v>2</v>
      </c>
      <c r="J180" t="s">
        <v>8</v>
      </c>
      <c r="K180" t="s">
        <v>64</v>
      </c>
      <c r="L180" t="s">
        <v>8</v>
      </c>
      <c r="M180" t="s">
        <v>9</v>
      </c>
    </row>
    <row r="181" spans="1:13">
      <c r="A181" s="2">
        <v>92729</v>
      </c>
      <c r="B181" t="s">
        <v>3</v>
      </c>
      <c r="C181" s="1">
        <v>43325</v>
      </c>
      <c r="D181" t="s">
        <v>550</v>
      </c>
      <c r="E181" t="s">
        <v>5</v>
      </c>
      <c r="F181" t="s">
        <v>6</v>
      </c>
      <c r="G181" t="s">
        <v>0</v>
      </c>
      <c r="H181" t="s">
        <v>1</v>
      </c>
      <c r="I181" t="s">
        <v>2</v>
      </c>
      <c r="J181" t="s">
        <v>8</v>
      </c>
      <c r="K181" t="s">
        <v>551</v>
      </c>
      <c r="L181" t="s">
        <v>8</v>
      </c>
      <c r="M181" t="s">
        <v>9</v>
      </c>
    </row>
    <row r="182" spans="1:13">
      <c r="A182" s="2">
        <v>92731</v>
      </c>
      <c r="B182" t="s">
        <v>3</v>
      </c>
      <c r="C182" s="1">
        <v>43322</v>
      </c>
      <c r="D182" t="s">
        <v>552</v>
      </c>
      <c r="E182" t="s">
        <v>5</v>
      </c>
      <c r="F182" t="s">
        <v>6</v>
      </c>
      <c r="G182" t="s">
        <v>0</v>
      </c>
      <c r="H182" t="s">
        <v>1</v>
      </c>
      <c r="I182" t="s">
        <v>2</v>
      </c>
      <c r="J182" t="s">
        <v>8</v>
      </c>
      <c r="K182" t="s">
        <v>553</v>
      </c>
      <c r="L182" t="s">
        <v>8</v>
      </c>
      <c r="M182" t="s">
        <v>9</v>
      </c>
    </row>
    <row r="183" spans="1:13">
      <c r="A183" s="2">
        <v>92732</v>
      </c>
      <c r="B183" t="s">
        <v>65</v>
      </c>
      <c r="C183" s="1">
        <v>43322</v>
      </c>
      <c r="D183" t="s">
        <v>554</v>
      </c>
      <c r="E183" t="s">
        <v>5</v>
      </c>
      <c r="F183" t="s">
        <v>6</v>
      </c>
      <c r="G183" t="s">
        <v>0</v>
      </c>
      <c r="H183" t="s">
        <v>1</v>
      </c>
      <c r="I183" t="s">
        <v>2</v>
      </c>
      <c r="J183" t="s">
        <v>8</v>
      </c>
      <c r="K183" t="s">
        <v>555</v>
      </c>
      <c r="L183" t="s">
        <v>8</v>
      </c>
      <c r="M183" t="s">
        <v>9</v>
      </c>
    </row>
    <row r="184" spans="1:13">
      <c r="A184" s="2">
        <v>92736</v>
      </c>
      <c r="B184" t="s">
        <v>65</v>
      </c>
      <c r="C184" s="1">
        <v>43322</v>
      </c>
      <c r="D184" t="s">
        <v>556</v>
      </c>
      <c r="E184" t="s">
        <v>5</v>
      </c>
      <c r="F184" t="s">
        <v>6</v>
      </c>
      <c r="G184" t="s">
        <v>0</v>
      </c>
      <c r="H184" t="s">
        <v>1</v>
      </c>
      <c r="I184" t="s">
        <v>2</v>
      </c>
      <c r="J184" t="s">
        <v>8</v>
      </c>
      <c r="K184" t="s">
        <v>557</v>
      </c>
      <c r="L184" t="s">
        <v>8</v>
      </c>
      <c r="M184" t="s">
        <v>9</v>
      </c>
    </row>
    <row r="185" spans="1:13">
      <c r="A185" s="2">
        <v>92737</v>
      </c>
      <c r="B185" t="s">
        <v>24</v>
      </c>
      <c r="C185" s="1">
        <v>43322</v>
      </c>
      <c r="D185" t="s">
        <v>558</v>
      </c>
      <c r="E185" t="s">
        <v>5</v>
      </c>
      <c r="F185" t="s">
        <v>6</v>
      </c>
      <c r="G185" t="s">
        <v>0</v>
      </c>
      <c r="H185" t="s">
        <v>1</v>
      </c>
      <c r="I185" t="s">
        <v>2</v>
      </c>
      <c r="J185" t="s">
        <v>8</v>
      </c>
      <c r="K185" t="s">
        <v>559</v>
      </c>
      <c r="L185" t="s">
        <v>8</v>
      </c>
      <c r="M185" t="s">
        <v>9</v>
      </c>
    </row>
    <row r="186" spans="1:13">
      <c r="A186" s="2">
        <v>92740</v>
      </c>
      <c r="B186" t="s">
        <v>86</v>
      </c>
      <c r="C186" s="1">
        <v>43322</v>
      </c>
      <c r="D186" t="s">
        <v>560</v>
      </c>
      <c r="E186" t="s">
        <v>5</v>
      </c>
      <c r="F186" t="s">
        <v>6</v>
      </c>
      <c r="G186" t="s">
        <v>0</v>
      </c>
      <c r="H186" t="s">
        <v>1</v>
      </c>
      <c r="I186" t="s">
        <v>2</v>
      </c>
      <c r="J186" t="s">
        <v>8</v>
      </c>
      <c r="K186" t="s">
        <v>561</v>
      </c>
      <c r="L186" t="s">
        <v>8</v>
      </c>
      <c r="M186" t="s">
        <v>9</v>
      </c>
    </row>
    <row r="187" spans="1:13">
      <c r="A187" s="2">
        <v>92741</v>
      </c>
      <c r="B187" t="s">
        <v>24</v>
      </c>
      <c r="C187" s="1">
        <v>43310</v>
      </c>
      <c r="D187" t="s">
        <v>562</v>
      </c>
      <c r="E187" t="s">
        <v>5</v>
      </c>
      <c r="F187" t="s">
        <v>6</v>
      </c>
      <c r="G187" t="s">
        <v>0</v>
      </c>
      <c r="H187" t="s">
        <v>1</v>
      </c>
      <c r="I187" t="s">
        <v>2</v>
      </c>
      <c r="J187" t="s">
        <v>8</v>
      </c>
      <c r="K187" t="s">
        <v>563</v>
      </c>
      <c r="L187" t="s">
        <v>8</v>
      </c>
      <c r="M187" t="s">
        <v>9</v>
      </c>
    </row>
    <row r="188" spans="1:13">
      <c r="A188" s="2">
        <v>92742</v>
      </c>
      <c r="B188" t="s">
        <v>3</v>
      </c>
      <c r="C188" s="1">
        <v>43244</v>
      </c>
      <c r="D188" t="s">
        <v>564</v>
      </c>
      <c r="E188" t="s">
        <v>5</v>
      </c>
      <c r="F188" t="s">
        <v>6</v>
      </c>
      <c r="G188" t="s">
        <v>0</v>
      </c>
      <c r="H188" t="s">
        <v>1</v>
      </c>
      <c r="I188" t="s">
        <v>2</v>
      </c>
      <c r="J188" t="s">
        <v>8</v>
      </c>
      <c r="K188" t="s">
        <v>565</v>
      </c>
      <c r="L188" t="s">
        <v>8</v>
      </c>
      <c r="M188" t="s">
        <v>9</v>
      </c>
    </row>
    <row r="189" spans="1:13">
      <c r="A189" s="2">
        <v>92743</v>
      </c>
      <c r="B189" t="s">
        <v>24</v>
      </c>
      <c r="C189" s="1">
        <v>43340</v>
      </c>
      <c r="D189" t="s">
        <v>566</v>
      </c>
      <c r="E189" t="s">
        <v>5</v>
      </c>
      <c r="F189" t="s">
        <v>6</v>
      </c>
      <c r="G189" t="s">
        <v>0</v>
      </c>
      <c r="H189" t="s">
        <v>1</v>
      </c>
      <c r="I189" t="s">
        <v>2</v>
      </c>
      <c r="J189" t="s">
        <v>8</v>
      </c>
      <c r="K189" t="s">
        <v>567</v>
      </c>
      <c r="L189" t="s">
        <v>8</v>
      </c>
      <c r="M189" t="s">
        <v>9</v>
      </c>
    </row>
    <row r="190" spans="1:13">
      <c r="A190" s="2">
        <v>92744</v>
      </c>
      <c r="B190" t="s">
        <v>3</v>
      </c>
      <c r="C190" s="1">
        <v>43309</v>
      </c>
      <c r="D190" t="s">
        <v>568</v>
      </c>
      <c r="E190" t="s">
        <v>5</v>
      </c>
      <c r="F190" t="s">
        <v>6</v>
      </c>
      <c r="G190" t="s">
        <v>0</v>
      </c>
      <c r="H190" t="s">
        <v>1</v>
      </c>
      <c r="I190" t="s">
        <v>2</v>
      </c>
      <c r="J190" t="s">
        <v>8</v>
      </c>
      <c r="K190" t="s">
        <v>569</v>
      </c>
      <c r="L190" t="s">
        <v>8</v>
      </c>
      <c r="M190" t="s">
        <v>9</v>
      </c>
    </row>
    <row r="191" spans="1:13">
      <c r="A191" s="2">
        <v>92746</v>
      </c>
      <c r="B191" t="s">
        <v>3</v>
      </c>
      <c r="C191" s="1">
        <v>43322</v>
      </c>
      <c r="D191" t="s">
        <v>570</v>
      </c>
      <c r="E191" t="s">
        <v>5</v>
      </c>
      <c r="F191" t="s">
        <v>6</v>
      </c>
      <c r="G191" t="s">
        <v>0</v>
      </c>
      <c r="H191" t="s">
        <v>1</v>
      </c>
      <c r="I191" t="s">
        <v>2</v>
      </c>
      <c r="J191" t="s">
        <v>8</v>
      </c>
      <c r="K191" t="s">
        <v>571</v>
      </c>
      <c r="L191" t="s">
        <v>8</v>
      </c>
      <c r="M191" t="s">
        <v>9</v>
      </c>
    </row>
    <row r="192" spans="1:13">
      <c r="A192" s="2">
        <v>92747</v>
      </c>
      <c r="B192" t="s">
        <v>3</v>
      </c>
      <c r="C192" s="1">
        <v>43374</v>
      </c>
      <c r="D192" t="s">
        <v>572</v>
      </c>
      <c r="E192" t="s">
        <v>5</v>
      </c>
      <c r="F192" t="s">
        <v>6</v>
      </c>
      <c r="G192" t="s">
        <v>0</v>
      </c>
      <c r="H192" t="s">
        <v>1</v>
      </c>
      <c r="I192" t="s">
        <v>2</v>
      </c>
      <c r="J192" t="s">
        <v>8</v>
      </c>
      <c r="K192" t="s">
        <v>573</v>
      </c>
      <c r="L192" t="s">
        <v>8</v>
      </c>
      <c r="M192" t="s">
        <v>9</v>
      </c>
    </row>
    <row r="193" spans="1:13">
      <c r="A193" s="2">
        <v>92748</v>
      </c>
      <c r="B193" t="s">
        <v>65</v>
      </c>
      <c r="C193" s="1">
        <v>43214</v>
      </c>
      <c r="D193" t="s">
        <v>574</v>
      </c>
      <c r="E193" t="s">
        <v>5</v>
      </c>
      <c r="F193" t="s">
        <v>6</v>
      </c>
      <c r="G193" t="s">
        <v>0</v>
      </c>
      <c r="H193" t="s">
        <v>1</v>
      </c>
      <c r="I193" t="s">
        <v>2</v>
      </c>
      <c r="J193" t="s">
        <v>8</v>
      </c>
      <c r="K193" t="s">
        <v>575</v>
      </c>
      <c r="L193" t="s">
        <v>8</v>
      </c>
      <c r="M193" t="s">
        <v>9</v>
      </c>
    </row>
    <row r="194" spans="1:13">
      <c r="A194" s="2">
        <v>92749</v>
      </c>
      <c r="B194" t="s">
        <v>24</v>
      </c>
      <c r="C194" s="1">
        <v>43322</v>
      </c>
      <c r="D194" t="s">
        <v>576</v>
      </c>
      <c r="E194" t="s">
        <v>5</v>
      </c>
      <c r="F194" t="s">
        <v>6</v>
      </c>
      <c r="G194" t="s">
        <v>0</v>
      </c>
      <c r="H194" t="s">
        <v>1</v>
      </c>
      <c r="I194" t="s">
        <v>2</v>
      </c>
      <c r="J194" t="s">
        <v>8</v>
      </c>
      <c r="K194" t="s">
        <v>577</v>
      </c>
      <c r="L194" t="s">
        <v>8</v>
      </c>
      <c r="M194" t="s">
        <v>9</v>
      </c>
    </row>
    <row r="195" spans="1:13">
      <c r="A195" s="2">
        <v>92751</v>
      </c>
      <c r="B195" t="s">
        <v>3</v>
      </c>
      <c r="C195" s="1">
        <v>43322</v>
      </c>
      <c r="D195" t="s">
        <v>578</v>
      </c>
      <c r="E195" t="s">
        <v>5</v>
      </c>
      <c r="F195" t="s">
        <v>6</v>
      </c>
      <c r="G195" t="s">
        <v>0</v>
      </c>
      <c r="H195" t="s">
        <v>1</v>
      </c>
      <c r="I195" t="s">
        <v>2</v>
      </c>
      <c r="J195" t="s">
        <v>8</v>
      </c>
      <c r="K195" t="s">
        <v>579</v>
      </c>
      <c r="L195" t="s">
        <v>8</v>
      </c>
      <c r="M195" t="s">
        <v>9</v>
      </c>
    </row>
    <row r="196" spans="1:13">
      <c r="A196" s="2">
        <v>92752</v>
      </c>
      <c r="B196" t="s">
        <v>3</v>
      </c>
      <c r="C196" s="1">
        <v>43322</v>
      </c>
      <c r="D196" t="s">
        <v>580</v>
      </c>
      <c r="E196" t="s">
        <v>5</v>
      </c>
      <c r="F196" t="s">
        <v>6</v>
      </c>
      <c r="G196" t="s">
        <v>0</v>
      </c>
      <c r="H196" t="s">
        <v>1</v>
      </c>
      <c r="I196" t="s">
        <v>2</v>
      </c>
      <c r="J196" t="s">
        <v>8</v>
      </c>
      <c r="K196" t="s">
        <v>581</v>
      </c>
      <c r="L196" t="s">
        <v>8</v>
      </c>
      <c r="M196" t="s">
        <v>9</v>
      </c>
    </row>
    <row r="197" spans="1:13">
      <c r="A197" s="2">
        <v>92753</v>
      </c>
      <c r="B197" t="s">
        <v>3</v>
      </c>
      <c r="C197" s="1">
        <v>43322</v>
      </c>
      <c r="D197" t="s">
        <v>582</v>
      </c>
      <c r="E197" t="s">
        <v>5</v>
      </c>
      <c r="F197" t="s">
        <v>6</v>
      </c>
      <c r="G197" t="s">
        <v>0</v>
      </c>
      <c r="H197" t="s">
        <v>1</v>
      </c>
      <c r="I197" t="s">
        <v>2</v>
      </c>
      <c r="J197" t="s">
        <v>8</v>
      </c>
      <c r="K197" t="s">
        <v>583</v>
      </c>
      <c r="L197" t="s">
        <v>8</v>
      </c>
      <c r="M197" t="s">
        <v>9</v>
      </c>
    </row>
    <row r="198" spans="1:13">
      <c r="A198" s="2">
        <v>92755</v>
      </c>
      <c r="B198" t="s">
        <v>65</v>
      </c>
      <c r="C198" s="1">
        <v>43322</v>
      </c>
      <c r="D198" t="s">
        <v>584</v>
      </c>
      <c r="E198" t="s">
        <v>5</v>
      </c>
      <c r="F198" t="s">
        <v>6</v>
      </c>
      <c r="G198" t="s">
        <v>0</v>
      </c>
      <c r="H198" t="s">
        <v>1</v>
      </c>
      <c r="I198" t="s">
        <v>2</v>
      </c>
      <c r="J198" t="s">
        <v>8</v>
      </c>
      <c r="K198" t="s">
        <v>585</v>
      </c>
      <c r="L198" t="s">
        <v>8</v>
      </c>
      <c r="M198" t="s">
        <v>9</v>
      </c>
    </row>
    <row r="199" spans="1:13">
      <c r="A199" s="2">
        <v>102475</v>
      </c>
      <c r="B199" t="s">
        <v>3</v>
      </c>
      <c r="C199" s="1">
        <v>43322</v>
      </c>
      <c r="D199" t="s">
        <v>602</v>
      </c>
      <c r="E199" t="s">
        <v>5</v>
      </c>
      <c r="F199" t="s">
        <v>6</v>
      </c>
      <c r="G199" t="s">
        <v>0</v>
      </c>
      <c r="H199" t="s">
        <v>1</v>
      </c>
      <c r="I199" t="s">
        <v>2</v>
      </c>
      <c r="J199" t="s">
        <v>8</v>
      </c>
      <c r="K199" t="s">
        <v>603</v>
      </c>
      <c r="L199" t="s">
        <v>8</v>
      </c>
      <c r="M199" t="s">
        <v>9</v>
      </c>
    </row>
    <row r="200" spans="1:13">
      <c r="A200" s="2">
        <v>102483</v>
      </c>
      <c r="B200" t="s">
        <v>24</v>
      </c>
      <c r="C200" s="1">
        <v>43322</v>
      </c>
      <c r="D200" t="s">
        <v>604</v>
      </c>
      <c r="E200" t="s">
        <v>5</v>
      </c>
      <c r="F200" t="s">
        <v>6</v>
      </c>
      <c r="G200" t="s">
        <v>0</v>
      </c>
      <c r="H200" t="s">
        <v>1</v>
      </c>
      <c r="I200" t="s">
        <v>2</v>
      </c>
      <c r="J200" t="s">
        <v>8</v>
      </c>
      <c r="K200" t="s">
        <v>605</v>
      </c>
      <c r="L200" t="s">
        <v>8</v>
      </c>
      <c r="M200" t="s">
        <v>9</v>
      </c>
    </row>
    <row r="201" spans="1:13">
      <c r="A201" s="2">
        <v>102498</v>
      </c>
      <c r="B201" t="s">
        <v>3</v>
      </c>
      <c r="C201" s="1">
        <v>43322</v>
      </c>
      <c r="D201" t="s">
        <v>606</v>
      </c>
      <c r="E201" t="s">
        <v>5</v>
      </c>
      <c r="F201" t="s">
        <v>6</v>
      </c>
      <c r="G201" t="s">
        <v>0</v>
      </c>
      <c r="H201" t="s">
        <v>1</v>
      </c>
      <c r="I201" t="s">
        <v>2</v>
      </c>
      <c r="J201" t="s">
        <v>8</v>
      </c>
      <c r="K201" t="s">
        <v>607</v>
      </c>
      <c r="L201" t="s">
        <v>8</v>
      </c>
      <c r="M201" t="s">
        <v>9</v>
      </c>
    </row>
    <row r="202" spans="1:13">
      <c r="A202" s="2">
        <v>102518</v>
      </c>
      <c r="B202" t="s">
        <v>3</v>
      </c>
      <c r="C202" s="1">
        <v>43322</v>
      </c>
      <c r="D202" t="s">
        <v>608</v>
      </c>
      <c r="E202" t="s">
        <v>5</v>
      </c>
      <c r="F202" t="s">
        <v>6</v>
      </c>
      <c r="G202" t="s">
        <v>0</v>
      </c>
      <c r="H202" t="s">
        <v>1</v>
      </c>
      <c r="I202" t="s">
        <v>2</v>
      </c>
      <c r="J202" t="s">
        <v>8</v>
      </c>
      <c r="K202" t="s">
        <v>609</v>
      </c>
      <c r="L202" t="s">
        <v>8</v>
      </c>
      <c r="M202" t="s">
        <v>9</v>
      </c>
    </row>
    <row r="203" spans="1:13">
      <c r="A203" s="2">
        <v>102557</v>
      </c>
      <c r="B203" t="s">
        <v>3</v>
      </c>
      <c r="C203" s="1">
        <v>43339</v>
      </c>
      <c r="D203" t="s">
        <v>610</v>
      </c>
      <c r="E203" t="s">
        <v>5</v>
      </c>
      <c r="F203" t="s">
        <v>6</v>
      </c>
      <c r="G203" t="s">
        <v>0</v>
      </c>
      <c r="H203" t="s">
        <v>1</v>
      </c>
      <c r="I203" t="s">
        <v>2</v>
      </c>
      <c r="J203" t="s">
        <v>8</v>
      </c>
      <c r="K203" t="s">
        <v>611</v>
      </c>
      <c r="L203" t="s">
        <v>8</v>
      </c>
      <c r="M203" t="s">
        <v>9</v>
      </c>
    </row>
    <row r="204" spans="1:13">
      <c r="A204" s="2">
        <v>102577</v>
      </c>
      <c r="B204" t="s">
        <v>65</v>
      </c>
      <c r="C204" s="1">
        <v>43322</v>
      </c>
      <c r="D204" t="s">
        <v>612</v>
      </c>
      <c r="E204" t="s">
        <v>5</v>
      </c>
      <c r="F204" t="s">
        <v>6</v>
      </c>
      <c r="G204" t="s">
        <v>0</v>
      </c>
      <c r="H204" t="s">
        <v>1</v>
      </c>
      <c r="I204" t="s">
        <v>2</v>
      </c>
      <c r="J204" t="s">
        <v>8</v>
      </c>
      <c r="K204" t="s">
        <v>613</v>
      </c>
      <c r="L204" t="s">
        <v>8</v>
      </c>
      <c r="M204" t="s">
        <v>9</v>
      </c>
    </row>
    <row r="205" spans="1:13">
      <c r="A205" s="2">
        <v>102601</v>
      </c>
      <c r="B205" t="s">
        <v>86</v>
      </c>
      <c r="C205" s="1">
        <v>43322</v>
      </c>
      <c r="D205" t="s">
        <v>614</v>
      </c>
      <c r="E205" t="s">
        <v>5</v>
      </c>
      <c r="F205" t="s">
        <v>6</v>
      </c>
      <c r="G205" t="s">
        <v>0</v>
      </c>
      <c r="H205" t="s">
        <v>1</v>
      </c>
      <c r="I205" t="s">
        <v>2</v>
      </c>
      <c r="J205" t="s">
        <v>8</v>
      </c>
      <c r="K205" t="s">
        <v>615</v>
      </c>
      <c r="L205" t="s">
        <v>8</v>
      </c>
      <c r="M205" t="s">
        <v>9</v>
      </c>
    </row>
    <row r="206" spans="1:13">
      <c r="A206" s="2">
        <v>102632</v>
      </c>
      <c r="B206" t="s">
        <v>3</v>
      </c>
      <c r="C206" s="1">
        <v>43317</v>
      </c>
      <c r="D206" t="s">
        <v>616</v>
      </c>
      <c r="E206" t="s">
        <v>5</v>
      </c>
      <c r="F206" t="s">
        <v>6</v>
      </c>
      <c r="G206" t="s">
        <v>0</v>
      </c>
      <c r="H206" t="s">
        <v>1</v>
      </c>
      <c r="I206" t="s">
        <v>2</v>
      </c>
      <c r="J206" t="s">
        <v>8</v>
      </c>
      <c r="K206" t="s">
        <v>617</v>
      </c>
      <c r="L206" t="s">
        <v>8</v>
      </c>
      <c r="M206" t="s">
        <v>9</v>
      </c>
    </row>
    <row r="207" spans="1:13">
      <c r="A207" s="2">
        <v>102650</v>
      </c>
      <c r="B207" t="s">
        <v>3</v>
      </c>
      <c r="C207" s="1">
        <v>43319</v>
      </c>
      <c r="D207" t="s">
        <v>618</v>
      </c>
      <c r="E207" t="s">
        <v>5</v>
      </c>
      <c r="F207" t="s">
        <v>6</v>
      </c>
      <c r="G207" t="s">
        <v>0</v>
      </c>
      <c r="H207" t="s">
        <v>1</v>
      </c>
      <c r="I207" t="s">
        <v>2</v>
      </c>
      <c r="J207" t="s">
        <v>8</v>
      </c>
      <c r="K207" t="s">
        <v>619</v>
      </c>
      <c r="L207" t="s">
        <v>8</v>
      </c>
      <c r="M207" t="s">
        <v>9</v>
      </c>
    </row>
    <row r="208" spans="1:13">
      <c r="A208" s="2">
        <v>102687</v>
      </c>
      <c r="B208" t="s">
        <v>24</v>
      </c>
      <c r="C208" s="1">
        <v>43322</v>
      </c>
      <c r="D208" t="s">
        <v>620</v>
      </c>
      <c r="E208" t="s">
        <v>5</v>
      </c>
      <c r="F208" t="s">
        <v>6</v>
      </c>
      <c r="G208" t="s">
        <v>0</v>
      </c>
      <c r="H208" t="s">
        <v>1</v>
      </c>
      <c r="I208" t="s">
        <v>2</v>
      </c>
      <c r="J208" t="s">
        <v>8</v>
      </c>
      <c r="K208" t="s">
        <v>621</v>
      </c>
      <c r="L208" t="s">
        <v>8</v>
      </c>
      <c r="M208" t="s">
        <v>9</v>
      </c>
    </row>
    <row r="209" spans="1:13">
      <c r="A209" s="2">
        <v>102693</v>
      </c>
      <c r="B209" t="s">
        <v>3</v>
      </c>
      <c r="C209" s="1">
        <v>43322</v>
      </c>
      <c r="D209" t="s">
        <v>622</v>
      </c>
      <c r="E209" t="s">
        <v>5</v>
      </c>
      <c r="F209" t="s">
        <v>6</v>
      </c>
      <c r="G209" t="s">
        <v>0</v>
      </c>
      <c r="H209" t="s">
        <v>1</v>
      </c>
      <c r="I209" t="s">
        <v>2</v>
      </c>
      <c r="J209" t="s">
        <v>8</v>
      </c>
      <c r="K209" t="s">
        <v>623</v>
      </c>
      <c r="L209" t="s">
        <v>8</v>
      </c>
      <c r="M209" t="s">
        <v>9</v>
      </c>
    </row>
    <row r="210" spans="1:13">
      <c r="A210" s="2">
        <v>102696</v>
      </c>
      <c r="B210" t="s">
        <v>3</v>
      </c>
      <c r="C210" s="1">
        <v>43322</v>
      </c>
      <c r="D210" t="s">
        <v>624</v>
      </c>
      <c r="E210" t="s">
        <v>5</v>
      </c>
      <c r="F210" t="s">
        <v>6</v>
      </c>
      <c r="G210" t="s">
        <v>0</v>
      </c>
      <c r="H210" t="s">
        <v>1</v>
      </c>
      <c r="I210" t="s">
        <v>2</v>
      </c>
      <c r="J210" t="s">
        <v>8</v>
      </c>
      <c r="K210" t="s">
        <v>625</v>
      </c>
      <c r="L210" t="s">
        <v>8</v>
      </c>
      <c r="M210" t="s">
        <v>9</v>
      </c>
    </row>
    <row r="211" spans="1:13">
      <c r="A211" s="2">
        <v>102698</v>
      </c>
      <c r="B211" t="s">
        <v>24</v>
      </c>
      <c r="C211" s="1">
        <v>43325</v>
      </c>
      <c r="D211" t="s">
        <v>626</v>
      </c>
      <c r="E211" t="s">
        <v>5</v>
      </c>
      <c r="F211" t="s">
        <v>6</v>
      </c>
      <c r="G211" t="s">
        <v>0</v>
      </c>
      <c r="H211" t="s">
        <v>1</v>
      </c>
      <c r="I211" t="s">
        <v>2</v>
      </c>
      <c r="J211" t="s">
        <v>8</v>
      </c>
      <c r="K211" t="s">
        <v>627</v>
      </c>
      <c r="L211" t="s">
        <v>8</v>
      </c>
      <c r="M211" t="s">
        <v>9</v>
      </c>
    </row>
    <row r="212" spans="1:13">
      <c r="A212" s="2">
        <v>102703</v>
      </c>
      <c r="B212" t="s">
        <v>86</v>
      </c>
      <c r="C212" s="1">
        <v>43325</v>
      </c>
      <c r="D212" t="s">
        <v>628</v>
      </c>
      <c r="E212" t="s">
        <v>5</v>
      </c>
      <c r="F212" t="s">
        <v>6</v>
      </c>
      <c r="G212" t="s">
        <v>0</v>
      </c>
      <c r="H212" t="s">
        <v>1</v>
      </c>
      <c r="I212" t="s">
        <v>2</v>
      </c>
      <c r="J212" t="s">
        <v>8</v>
      </c>
      <c r="K212" t="s">
        <v>629</v>
      </c>
      <c r="L212" t="s">
        <v>8</v>
      </c>
      <c r="M212" t="s">
        <v>9</v>
      </c>
    </row>
    <row r="213" spans="1:13">
      <c r="A213" s="2">
        <v>102705</v>
      </c>
      <c r="B213" t="s">
        <v>3</v>
      </c>
      <c r="C213" s="1">
        <v>43322</v>
      </c>
      <c r="D213" t="s">
        <v>630</v>
      </c>
      <c r="E213" t="s">
        <v>5</v>
      </c>
      <c r="F213" t="s">
        <v>6</v>
      </c>
      <c r="G213" t="s">
        <v>0</v>
      </c>
      <c r="H213" t="s">
        <v>1</v>
      </c>
      <c r="I213" t="s">
        <v>2</v>
      </c>
      <c r="J213" t="s">
        <v>8</v>
      </c>
      <c r="K213" t="s">
        <v>631</v>
      </c>
      <c r="L213" t="s">
        <v>8</v>
      </c>
      <c r="M213" t="s">
        <v>9</v>
      </c>
    </row>
    <row r="214" spans="1:13">
      <c r="A214" s="2">
        <v>102706</v>
      </c>
      <c r="B214" t="s">
        <v>24</v>
      </c>
      <c r="C214" s="1">
        <v>43322</v>
      </c>
      <c r="D214" t="s">
        <v>632</v>
      </c>
      <c r="E214" t="s">
        <v>5</v>
      </c>
      <c r="F214" t="s">
        <v>6</v>
      </c>
      <c r="G214" t="s">
        <v>0</v>
      </c>
      <c r="H214" t="s">
        <v>1</v>
      </c>
      <c r="I214" t="s">
        <v>2</v>
      </c>
      <c r="J214" t="s">
        <v>8</v>
      </c>
      <c r="K214" t="s">
        <v>633</v>
      </c>
      <c r="L214" t="s">
        <v>8</v>
      </c>
      <c r="M214" t="s">
        <v>9</v>
      </c>
    </row>
    <row r="215" spans="1:13">
      <c r="A215" s="2">
        <v>102716</v>
      </c>
      <c r="B215" t="s">
        <v>24</v>
      </c>
      <c r="C215" s="1">
        <v>43322</v>
      </c>
      <c r="D215" t="s">
        <v>634</v>
      </c>
      <c r="E215" t="s">
        <v>5</v>
      </c>
      <c r="F215" t="s">
        <v>6</v>
      </c>
      <c r="G215" t="s">
        <v>0</v>
      </c>
      <c r="H215" t="s">
        <v>1</v>
      </c>
      <c r="I215" t="s">
        <v>2</v>
      </c>
      <c r="J215" t="s">
        <v>8</v>
      </c>
      <c r="K215" t="s">
        <v>635</v>
      </c>
      <c r="L215" t="s">
        <v>8</v>
      </c>
      <c r="M215" t="s">
        <v>9</v>
      </c>
    </row>
    <row r="216" spans="1:13">
      <c r="A216" s="2">
        <v>102720</v>
      </c>
      <c r="B216" t="s">
        <v>24</v>
      </c>
      <c r="C216" s="1">
        <v>43322</v>
      </c>
      <c r="D216" t="s">
        <v>636</v>
      </c>
      <c r="E216" t="s">
        <v>5</v>
      </c>
      <c r="F216" t="s">
        <v>6</v>
      </c>
      <c r="G216" t="s">
        <v>0</v>
      </c>
      <c r="H216" t="s">
        <v>1</v>
      </c>
      <c r="I216" t="s">
        <v>2</v>
      </c>
      <c r="J216" t="s">
        <v>8</v>
      </c>
      <c r="K216" t="s">
        <v>637</v>
      </c>
      <c r="L216" t="s">
        <v>8</v>
      </c>
      <c r="M216" t="s">
        <v>9</v>
      </c>
    </row>
    <row r="217" spans="1:13">
      <c r="A217" s="2">
        <v>102723</v>
      </c>
      <c r="B217" t="s">
        <v>3</v>
      </c>
      <c r="C217" s="1">
        <v>43325</v>
      </c>
      <c r="D217" t="s">
        <v>638</v>
      </c>
      <c r="E217" t="s">
        <v>5</v>
      </c>
      <c r="F217" t="s">
        <v>6</v>
      </c>
      <c r="G217" t="s">
        <v>0</v>
      </c>
      <c r="H217" t="s">
        <v>1</v>
      </c>
      <c r="I217" t="s">
        <v>2</v>
      </c>
      <c r="J217" t="s">
        <v>8</v>
      </c>
      <c r="K217" t="s">
        <v>639</v>
      </c>
      <c r="L217" t="s">
        <v>8</v>
      </c>
      <c r="M217" t="s">
        <v>9</v>
      </c>
    </row>
    <row r="218" spans="1:13">
      <c r="A218" s="2">
        <v>102729</v>
      </c>
      <c r="B218" t="s">
        <v>24</v>
      </c>
      <c r="C218" s="1">
        <v>43322</v>
      </c>
      <c r="D218" t="s">
        <v>640</v>
      </c>
      <c r="E218" t="s">
        <v>5</v>
      </c>
      <c r="F218" t="s">
        <v>6</v>
      </c>
      <c r="G218" t="s">
        <v>0</v>
      </c>
      <c r="H218" t="s">
        <v>1</v>
      </c>
      <c r="I218" t="s">
        <v>2</v>
      </c>
      <c r="J218" t="s">
        <v>8</v>
      </c>
      <c r="K218" t="s">
        <v>641</v>
      </c>
      <c r="L218" t="s">
        <v>8</v>
      </c>
      <c r="M218" t="s">
        <v>9</v>
      </c>
    </row>
    <row r="219" spans="1:13">
      <c r="A219" s="2">
        <v>102736</v>
      </c>
      <c r="B219" t="s">
        <v>3</v>
      </c>
      <c r="C219" s="1">
        <v>43322</v>
      </c>
      <c r="D219" t="s">
        <v>642</v>
      </c>
      <c r="E219" t="s">
        <v>5</v>
      </c>
      <c r="F219" t="s">
        <v>6</v>
      </c>
      <c r="G219" t="s">
        <v>0</v>
      </c>
      <c r="H219" t="s">
        <v>1</v>
      </c>
      <c r="I219" t="s">
        <v>2</v>
      </c>
      <c r="J219" t="s">
        <v>8</v>
      </c>
      <c r="K219" t="s">
        <v>643</v>
      </c>
      <c r="L219" t="s">
        <v>8</v>
      </c>
      <c r="M219" t="s">
        <v>9</v>
      </c>
    </row>
    <row r="220" spans="1:13">
      <c r="A220" s="2">
        <v>102742</v>
      </c>
      <c r="B220" t="s">
        <v>24</v>
      </c>
      <c r="C220" s="1">
        <v>43325</v>
      </c>
      <c r="D220" t="s">
        <v>644</v>
      </c>
      <c r="E220" t="s">
        <v>5</v>
      </c>
      <c r="F220" t="s">
        <v>6</v>
      </c>
      <c r="G220" t="s">
        <v>0</v>
      </c>
      <c r="H220" t="s">
        <v>1</v>
      </c>
      <c r="I220" t="s">
        <v>2</v>
      </c>
      <c r="J220" t="s">
        <v>8</v>
      </c>
      <c r="K220" t="s">
        <v>645</v>
      </c>
      <c r="L220" t="s">
        <v>8</v>
      </c>
      <c r="M220" t="s">
        <v>9</v>
      </c>
    </row>
    <row r="221" spans="1:13">
      <c r="A221" s="2">
        <v>102784</v>
      </c>
      <c r="B221" t="s">
        <v>24</v>
      </c>
      <c r="C221" s="1">
        <v>43324</v>
      </c>
      <c r="D221" t="s">
        <v>646</v>
      </c>
      <c r="E221" t="s">
        <v>5</v>
      </c>
      <c r="F221" t="s">
        <v>6</v>
      </c>
      <c r="G221" t="s">
        <v>0</v>
      </c>
      <c r="H221" t="s">
        <v>1</v>
      </c>
      <c r="I221" t="s">
        <v>2</v>
      </c>
      <c r="J221" t="s">
        <v>8</v>
      </c>
      <c r="K221" t="s">
        <v>647</v>
      </c>
      <c r="L221" t="s">
        <v>8</v>
      </c>
      <c r="M221" t="s">
        <v>9</v>
      </c>
    </row>
    <row r="222" spans="1:13">
      <c r="A222" s="2">
        <v>102795</v>
      </c>
      <c r="B222" t="s">
        <v>65</v>
      </c>
      <c r="C222" s="1">
        <v>43322</v>
      </c>
      <c r="D222" t="s">
        <v>648</v>
      </c>
      <c r="E222" t="s">
        <v>5</v>
      </c>
      <c r="F222" t="s">
        <v>6</v>
      </c>
      <c r="G222" t="s">
        <v>0</v>
      </c>
      <c r="H222" t="s">
        <v>1</v>
      </c>
      <c r="I222" t="s">
        <v>2</v>
      </c>
      <c r="J222" t="s">
        <v>8</v>
      </c>
      <c r="K222" t="s">
        <v>649</v>
      </c>
      <c r="L222" t="s">
        <v>8</v>
      </c>
      <c r="M222" t="s">
        <v>9</v>
      </c>
    </row>
    <row r="223" spans="1:13">
      <c r="A223" s="2">
        <v>102803</v>
      </c>
      <c r="B223" t="s">
        <v>3</v>
      </c>
      <c r="C223" s="1">
        <v>43322</v>
      </c>
      <c r="D223" t="s">
        <v>650</v>
      </c>
      <c r="E223" t="s">
        <v>5</v>
      </c>
      <c r="F223" t="s">
        <v>6</v>
      </c>
      <c r="G223" t="s">
        <v>0</v>
      </c>
      <c r="H223" t="s">
        <v>1</v>
      </c>
      <c r="I223" t="s">
        <v>2</v>
      </c>
      <c r="J223" t="s">
        <v>8</v>
      </c>
      <c r="K223" t="s">
        <v>651</v>
      </c>
      <c r="L223" t="s">
        <v>8</v>
      </c>
      <c r="M223" t="s">
        <v>9</v>
      </c>
    </row>
    <row r="224" spans="1:13">
      <c r="A224" s="2">
        <v>102804</v>
      </c>
      <c r="B224" t="s">
        <v>3</v>
      </c>
      <c r="C224" s="1">
        <v>43322</v>
      </c>
      <c r="D224" t="s">
        <v>652</v>
      </c>
      <c r="E224" t="s">
        <v>5</v>
      </c>
      <c r="F224" t="s">
        <v>6</v>
      </c>
      <c r="G224" t="s">
        <v>0</v>
      </c>
      <c r="H224" t="s">
        <v>1</v>
      </c>
      <c r="I224" t="s">
        <v>2</v>
      </c>
      <c r="J224" t="s">
        <v>8</v>
      </c>
      <c r="K224" t="s">
        <v>653</v>
      </c>
      <c r="L224" t="s">
        <v>8</v>
      </c>
      <c r="M224" t="s">
        <v>9</v>
      </c>
    </row>
    <row r="225" spans="1:13">
      <c r="A225" s="2">
        <v>102821</v>
      </c>
      <c r="B225" t="s">
        <v>3</v>
      </c>
      <c r="C225" s="1">
        <v>43324</v>
      </c>
      <c r="D225" t="s">
        <v>654</v>
      </c>
      <c r="E225" t="s">
        <v>5</v>
      </c>
      <c r="F225" t="s">
        <v>6</v>
      </c>
      <c r="G225" t="s">
        <v>0</v>
      </c>
      <c r="H225" t="s">
        <v>1</v>
      </c>
      <c r="I225" t="s">
        <v>2</v>
      </c>
      <c r="J225" t="s">
        <v>8</v>
      </c>
      <c r="K225" t="s">
        <v>655</v>
      </c>
      <c r="L225" t="s">
        <v>8</v>
      </c>
      <c r="M225" t="s">
        <v>9</v>
      </c>
    </row>
    <row r="226" spans="1:13">
      <c r="A226" s="2">
        <v>102824</v>
      </c>
      <c r="B226" t="s">
        <v>3</v>
      </c>
      <c r="C226" s="1">
        <v>43322</v>
      </c>
      <c r="D226" t="s">
        <v>656</v>
      </c>
      <c r="E226" t="s">
        <v>5</v>
      </c>
      <c r="F226" t="s">
        <v>6</v>
      </c>
      <c r="G226" t="s">
        <v>0</v>
      </c>
      <c r="H226" t="s">
        <v>1</v>
      </c>
      <c r="I226" t="s">
        <v>2</v>
      </c>
      <c r="J226" t="s">
        <v>8</v>
      </c>
      <c r="K226" t="s">
        <v>657</v>
      </c>
      <c r="L226" t="s">
        <v>8</v>
      </c>
      <c r="M226" t="s">
        <v>9</v>
      </c>
    </row>
    <row r="227" spans="1:13">
      <c r="A227" s="2">
        <v>102844</v>
      </c>
      <c r="B227" t="s">
        <v>3</v>
      </c>
      <c r="C227" s="1">
        <v>43322</v>
      </c>
      <c r="D227" t="s">
        <v>658</v>
      </c>
      <c r="E227" t="s">
        <v>5</v>
      </c>
      <c r="F227" t="s">
        <v>6</v>
      </c>
      <c r="G227" t="s">
        <v>0</v>
      </c>
      <c r="H227" t="s">
        <v>1</v>
      </c>
      <c r="I227" t="s">
        <v>2</v>
      </c>
      <c r="J227" t="s">
        <v>8</v>
      </c>
      <c r="K227" t="s">
        <v>659</v>
      </c>
      <c r="L227" t="s">
        <v>8</v>
      </c>
      <c r="M227" t="s">
        <v>9</v>
      </c>
    </row>
    <row r="228" spans="1:13">
      <c r="A228" s="2">
        <v>102851</v>
      </c>
      <c r="B228" t="s">
        <v>212</v>
      </c>
      <c r="C228" s="1">
        <v>43322</v>
      </c>
      <c r="D228" t="s">
        <v>660</v>
      </c>
      <c r="E228" t="s">
        <v>5</v>
      </c>
      <c r="F228" t="s">
        <v>6</v>
      </c>
      <c r="G228" t="s">
        <v>0</v>
      </c>
      <c r="H228" t="s">
        <v>1</v>
      </c>
      <c r="I228" t="s">
        <v>2</v>
      </c>
      <c r="J228" t="s">
        <v>8</v>
      </c>
      <c r="K228" t="s">
        <v>661</v>
      </c>
      <c r="L228" t="s">
        <v>8</v>
      </c>
      <c r="M228" t="s">
        <v>9</v>
      </c>
    </row>
    <row r="229" spans="1:13">
      <c r="A229" s="2">
        <v>102871</v>
      </c>
      <c r="B229" t="s">
        <v>24</v>
      </c>
      <c r="C229" s="1">
        <v>43354</v>
      </c>
      <c r="D229" t="s">
        <v>662</v>
      </c>
      <c r="E229" t="s">
        <v>5</v>
      </c>
      <c r="F229" t="s">
        <v>6</v>
      </c>
      <c r="G229" t="s">
        <v>0</v>
      </c>
      <c r="H229" t="s">
        <v>1</v>
      </c>
      <c r="I229" t="s">
        <v>2</v>
      </c>
      <c r="J229" t="s">
        <v>8</v>
      </c>
      <c r="K229" t="s">
        <v>663</v>
      </c>
      <c r="L229" t="s">
        <v>8</v>
      </c>
      <c r="M229" t="s">
        <v>9</v>
      </c>
    </row>
    <row r="230" spans="1:13">
      <c r="A230" s="2">
        <v>102911</v>
      </c>
      <c r="B230" t="s">
        <v>65</v>
      </c>
      <c r="C230" s="1">
        <v>43310</v>
      </c>
      <c r="D230" t="s">
        <v>664</v>
      </c>
      <c r="E230" t="s">
        <v>5</v>
      </c>
      <c r="F230" t="s">
        <v>6</v>
      </c>
      <c r="G230" t="s">
        <v>0</v>
      </c>
      <c r="H230" t="s">
        <v>1</v>
      </c>
      <c r="I230" t="s">
        <v>2</v>
      </c>
      <c r="J230" t="s">
        <v>8</v>
      </c>
      <c r="K230" t="s">
        <v>665</v>
      </c>
      <c r="L230" t="s">
        <v>8</v>
      </c>
      <c r="M230" t="s">
        <v>9</v>
      </c>
    </row>
    <row r="231" spans="1:13">
      <c r="A231" s="2">
        <v>102913</v>
      </c>
      <c r="B231" t="s">
        <v>3</v>
      </c>
      <c r="C231" s="1">
        <v>43322</v>
      </c>
      <c r="D231" t="s">
        <v>666</v>
      </c>
      <c r="E231" t="s">
        <v>5</v>
      </c>
      <c r="F231" t="s">
        <v>6</v>
      </c>
      <c r="G231" t="s">
        <v>0</v>
      </c>
      <c r="H231" t="s">
        <v>1</v>
      </c>
      <c r="I231" t="s">
        <v>2</v>
      </c>
      <c r="J231" t="s">
        <v>8</v>
      </c>
      <c r="K231" t="s">
        <v>667</v>
      </c>
      <c r="L231" t="s">
        <v>8</v>
      </c>
      <c r="M231" t="s">
        <v>9</v>
      </c>
    </row>
    <row r="232" spans="1:13">
      <c r="A232" s="2">
        <v>120271</v>
      </c>
      <c r="B232" t="s">
        <v>86</v>
      </c>
      <c r="C232" s="1">
        <v>43371</v>
      </c>
      <c r="D232" t="s">
        <v>668</v>
      </c>
      <c r="E232" t="s">
        <v>5</v>
      </c>
      <c r="F232" t="s">
        <v>6</v>
      </c>
      <c r="G232" t="s">
        <v>0</v>
      </c>
      <c r="H232" t="s">
        <v>1</v>
      </c>
      <c r="I232" t="s">
        <v>2</v>
      </c>
      <c r="J232" t="s">
        <v>8</v>
      </c>
      <c r="K232" t="s">
        <v>669</v>
      </c>
      <c r="L232" t="s">
        <v>8</v>
      </c>
      <c r="M232" t="s">
        <v>9</v>
      </c>
    </row>
    <row r="233" spans="1:13">
      <c r="A233" s="2">
        <v>120273</v>
      </c>
      <c r="B233" t="s">
        <v>86</v>
      </c>
      <c r="C233" s="1">
        <v>43371</v>
      </c>
      <c r="D233" t="s">
        <v>670</v>
      </c>
      <c r="E233" t="s">
        <v>5</v>
      </c>
      <c r="F233" t="s">
        <v>6</v>
      </c>
      <c r="G233" t="s">
        <v>0</v>
      </c>
      <c r="H233" t="s">
        <v>1</v>
      </c>
      <c r="I233" t="s">
        <v>2</v>
      </c>
      <c r="J233" t="s">
        <v>8</v>
      </c>
      <c r="K233" t="s">
        <v>671</v>
      </c>
      <c r="L233" t="s">
        <v>8</v>
      </c>
      <c r="M233" t="s">
        <v>9</v>
      </c>
    </row>
    <row r="234" spans="1:13">
      <c r="A234" s="2">
        <v>120287</v>
      </c>
      <c r="B234" t="s">
        <v>86</v>
      </c>
      <c r="C234" s="1">
        <v>43322</v>
      </c>
      <c r="D234" t="s">
        <v>672</v>
      </c>
      <c r="E234" t="s">
        <v>5</v>
      </c>
      <c r="F234" t="s">
        <v>6</v>
      </c>
      <c r="G234" t="s">
        <v>0</v>
      </c>
      <c r="H234" t="s">
        <v>1</v>
      </c>
      <c r="I234" t="s">
        <v>2</v>
      </c>
      <c r="J234" t="s">
        <v>8</v>
      </c>
      <c r="K234" t="s">
        <v>673</v>
      </c>
      <c r="L234" t="s">
        <v>8</v>
      </c>
      <c r="M234" t="s">
        <v>9</v>
      </c>
    </row>
    <row r="235" spans="1:13">
      <c r="A235" s="2">
        <v>225135</v>
      </c>
      <c r="B235" t="s">
        <v>86</v>
      </c>
      <c r="C235" s="1">
        <v>43322</v>
      </c>
      <c r="D235" t="s">
        <v>809</v>
      </c>
      <c r="E235" t="s">
        <v>5</v>
      </c>
      <c r="F235" t="s">
        <v>6</v>
      </c>
      <c r="G235" t="s">
        <v>0</v>
      </c>
      <c r="H235" t="s">
        <v>1</v>
      </c>
      <c r="I235" t="s">
        <v>2</v>
      </c>
      <c r="J235" t="s">
        <v>8</v>
      </c>
      <c r="K235" t="s">
        <v>810</v>
      </c>
      <c r="L235" t="s">
        <v>8</v>
      </c>
      <c r="M235" t="s">
        <v>9</v>
      </c>
    </row>
    <row r="236" spans="1:13">
      <c r="A236" s="2">
        <v>281073</v>
      </c>
      <c r="B236" t="s">
        <v>86</v>
      </c>
      <c r="C236" s="1">
        <v>43322</v>
      </c>
      <c r="D236" t="s">
        <v>822</v>
      </c>
      <c r="E236" t="s">
        <v>5</v>
      </c>
      <c r="F236" t="s">
        <v>6</v>
      </c>
      <c r="G236" t="s">
        <v>0</v>
      </c>
      <c r="H236" t="s">
        <v>1</v>
      </c>
      <c r="I236" t="s">
        <v>2</v>
      </c>
      <c r="J236" t="s">
        <v>8</v>
      </c>
      <c r="K236" t="s">
        <v>823</v>
      </c>
      <c r="L236" t="s">
        <v>8</v>
      </c>
      <c r="M236" t="s">
        <v>9</v>
      </c>
    </row>
    <row r="237" spans="1:13">
      <c r="A237" s="2">
        <v>306914</v>
      </c>
      <c r="B237" t="s">
        <v>86</v>
      </c>
      <c r="C237" s="1">
        <v>43322</v>
      </c>
      <c r="D237" t="s">
        <v>827</v>
      </c>
      <c r="E237" t="s">
        <v>5</v>
      </c>
      <c r="F237" t="s">
        <v>6</v>
      </c>
      <c r="G237" t="s">
        <v>0</v>
      </c>
      <c r="H237" t="s">
        <v>1</v>
      </c>
      <c r="I237" t="s">
        <v>2</v>
      </c>
      <c r="J237" t="s">
        <v>8</v>
      </c>
      <c r="K237" t="s">
        <v>828</v>
      </c>
      <c r="L237" t="s">
        <v>8</v>
      </c>
      <c r="M237" t="s">
        <v>9</v>
      </c>
    </row>
    <row r="238" spans="1:13">
      <c r="A238" s="2">
        <v>376937</v>
      </c>
      <c r="B238" t="s">
        <v>86</v>
      </c>
      <c r="C238" s="1">
        <v>43319</v>
      </c>
      <c r="D238" t="s">
        <v>833</v>
      </c>
      <c r="E238" t="s">
        <v>5</v>
      </c>
      <c r="F238" t="s">
        <v>6</v>
      </c>
      <c r="G238" t="s">
        <v>0</v>
      </c>
      <c r="H238" t="s">
        <v>1</v>
      </c>
      <c r="I238" t="s">
        <v>2</v>
      </c>
      <c r="J238" t="s">
        <v>8</v>
      </c>
      <c r="K238" t="s">
        <v>834</v>
      </c>
      <c r="L238" t="s">
        <v>8</v>
      </c>
      <c r="M238" t="s">
        <v>9</v>
      </c>
    </row>
    <row r="239" spans="1:13">
      <c r="A239" s="2">
        <v>439228</v>
      </c>
      <c r="B239" t="s">
        <v>24</v>
      </c>
      <c r="C239" s="1">
        <v>43324</v>
      </c>
      <c r="D239" t="s">
        <v>844</v>
      </c>
      <c r="E239" t="s">
        <v>5</v>
      </c>
      <c r="F239" t="s">
        <v>6</v>
      </c>
      <c r="G239" t="s">
        <v>0</v>
      </c>
      <c r="H239" t="s">
        <v>1</v>
      </c>
      <c r="I239" t="s">
        <v>2</v>
      </c>
      <c r="J239" t="s">
        <v>8</v>
      </c>
      <c r="K239" t="s">
        <v>845</v>
      </c>
      <c r="L239" t="s">
        <v>8</v>
      </c>
      <c r="M239" t="s">
        <v>9</v>
      </c>
    </row>
    <row r="240" spans="1:13">
      <c r="A240" s="2">
        <v>590340</v>
      </c>
      <c r="B240" t="s">
        <v>212</v>
      </c>
      <c r="C240" s="1">
        <v>43325</v>
      </c>
      <c r="D240" t="s">
        <v>895</v>
      </c>
      <c r="E240" t="s">
        <v>5</v>
      </c>
      <c r="F240" t="s">
        <v>6</v>
      </c>
      <c r="G240" t="s">
        <v>0</v>
      </c>
      <c r="H240" t="s">
        <v>1</v>
      </c>
      <c r="I240" t="s">
        <v>2</v>
      </c>
      <c r="J240" t="s">
        <v>8</v>
      </c>
      <c r="K240" t="s">
        <v>896</v>
      </c>
      <c r="L240" t="s">
        <v>8</v>
      </c>
      <c r="M240" t="s">
        <v>9</v>
      </c>
    </row>
    <row r="241" spans="1:13">
      <c r="A241" s="2">
        <v>7829</v>
      </c>
      <c r="B241" t="s">
        <v>3</v>
      </c>
      <c r="C241" s="1">
        <v>43026</v>
      </c>
      <c r="D241" t="s">
        <v>94</v>
      </c>
      <c r="E241" t="s">
        <v>95</v>
      </c>
      <c r="F241" t="s">
        <v>96</v>
      </c>
      <c r="G241" t="s">
        <v>0</v>
      </c>
      <c r="H241" t="s">
        <v>1</v>
      </c>
      <c r="I241" t="s">
        <v>2</v>
      </c>
      <c r="J241" t="s">
        <v>98</v>
      </c>
      <c r="K241" t="s">
        <v>97</v>
      </c>
      <c r="L241" t="s">
        <v>98</v>
      </c>
      <c r="M241" t="s">
        <v>9</v>
      </c>
    </row>
    <row r="242" spans="1:13">
      <c r="A242" s="2">
        <v>7844</v>
      </c>
      <c r="B242" t="s">
        <v>86</v>
      </c>
      <c r="C242" s="1">
        <v>43196</v>
      </c>
      <c r="D242" t="s">
        <v>99</v>
      </c>
      <c r="E242" t="s">
        <v>95</v>
      </c>
      <c r="F242" t="s">
        <v>96</v>
      </c>
      <c r="G242" t="s">
        <v>0</v>
      </c>
      <c r="H242" t="s">
        <v>1</v>
      </c>
      <c r="I242" t="s">
        <v>2</v>
      </c>
      <c r="J242" t="s">
        <v>98</v>
      </c>
      <c r="K242" t="s">
        <v>100</v>
      </c>
      <c r="L242" t="s">
        <v>98</v>
      </c>
      <c r="M242" t="s">
        <v>9</v>
      </c>
    </row>
    <row r="243" spans="1:13">
      <c r="A243" s="2">
        <v>41682</v>
      </c>
      <c r="B243" t="s">
        <v>212</v>
      </c>
      <c r="C243" s="1">
        <v>43196</v>
      </c>
      <c r="D243" t="s">
        <v>377</v>
      </c>
      <c r="E243" t="s">
        <v>95</v>
      </c>
      <c r="F243" t="s">
        <v>96</v>
      </c>
      <c r="G243" t="s">
        <v>0</v>
      </c>
      <c r="H243" t="s">
        <v>1</v>
      </c>
      <c r="I243" t="s">
        <v>2</v>
      </c>
      <c r="J243" t="s">
        <v>98</v>
      </c>
      <c r="K243" t="s">
        <v>378</v>
      </c>
      <c r="L243" t="s">
        <v>98</v>
      </c>
      <c r="M243" t="s">
        <v>9</v>
      </c>
    </row>
    <row r="244" spans="1:13">
      <c r="A244" s="2">
        <v>92808</v>
      </c>
      <c r="B244" t="s">
        <v>65</v>
      </c>
      <c r="C244" s="1">
        <v>42683</v>
      </c>
      <c r="D244" t="s">
        <v>586</v>
      </c>
      <c r="E244" t="s">
        <v>95</v>
      </c>
      <c r="F244" t="s">
        <v>96</v>
      </c>
      <c r="G244" t="s">
        <v>0</v>
      </c>
      <c r="H244" t="s">
        <v>1</v>
      </c>
      <c r="I244" t="s">
        <v>2</v>
      </c>
      <c r="J244" t="s">
        <v>98</v>
      </c>
      <c r="K244" t="s">
        <v>587</v>
      </c>
      <c r="L244" t="s">
        <v>98</v>
      </c>
      <c r="M244" t="s">
        <v>9</v>
      </c>
    </row>
    <row r="245" spans="1:13">
      <c r="A245" s="2">
        <v>92810</v>
      </c>
      <c r="B245" t="s">
        <v>65</v>
      </c>
      <c r="C245" s="1">
        <v>42627</v>
      </c>
      <c r="D245" t="s">
        <v>588</v>
      </c>
      <c r="E245" t="s">
        <v>95</v>
      </c>
      <c r="F245" t="s">
        <v>96</v>
      </c>
      <c r="G245" t="s">
        <v>0</v>
      </c>
      <c r="H245" t="s">
        <v>1</v>
      </c>
      <c r="I245" t="s">
        <v>2</v>
      </c>
      <c r="J245" t="s">
        <v>98</v>
      </c>
      <c r="K245" t="s">
        <v>589</v>
      </c>
      <c r="L245" t="s">
        <v>98</v>
      </c>
      <c r="M245" t="s">
        <v>9</v>
      </c>
    </row>
    <row r="246" spans="1:13">
      <c r="A246" s="2">
        <v>92813</v>
      </c>
      <c r="B246" t="s">
        <v>212</v>
      </c>
      <c r="C246" s="1">
        <v>42683</v>
      </c>
      <c r="D246" t="s">
        <v>590</v>
      </c>
      <c r="E246" t="s">
        <v>95</v>
      </c>
      <c r="F246" t="s">
        <v>96</v>
      </c>
      <c r="G246" t="s">
        <v>0</v>
      </c>
      <c r="H246" t="s">
        <v>1</v>
      </c>
      <c r="I246" t="s">
        <v>2</v>
      </c>
      <c r="J246" t="s">
        <v>98</v>
      </c>
      <c r="K246" t="s">
        <v>591</v>
      </c>
      <c r="L246" t="s">
        <v>98</v>
      </c>
      <c r="M246" t="s">
        <v>9</v>
      </c>
    </row>
    <row r="247" spans="1:13">
      <c r="A247" s="2">
        <v>92816</v>
      </c>
      <c r="B247" t="s">
        <v>3</v>
      </c>
      <c r="C247" s="1">
        <v>43087</v>
      </c>
      <c r="D247" t="s">
        <v>592</v>
      </c>
      <c r="E247" t="s">
        <v>95</v>
      </c>
      <c r="F247" t="s">
        <v>96</v>
      </c>
      <c r="G247" t="s">
        <v>0</v>
      </c>
      <c r="H247" t="s">
        <v>1</v>
      </c>
      <c r="I247" t="s">
        <v>2</v>
      </c>
      <c r="J247" t="s">
        <v>98</v>
      </c>
      <c r="K247" t="s">
        <v>593</v>
      </c>
      <c r="L247" t="s">
        <v>98</v>
      </c>
      <c r="M247" t="s">
        <v>9</v>
      </c>
    </row>
    <row r="248" spans="1:13">
      <c r="A248" s="2">
        <v>92818</v>
      </c>
      <c r="B248" t="s">
        <v>212</v>
      </c>
      <c r="C248" s="1">
        <v>42718</v>
      </c>
      <c r="D248" t="s">
        <v>594</v>
      </c>
      <c r="E248" t="s">
        <v>95</v>
      </c>
      <c r="F248" t="s">
        <v>96</v>
      </c>
      <c r="G248" t="s">
        <v>0</v>
      </c>
      <c r="H248" t="s">
        <v>1</v>
      </c>
      <c r="I248" t="s">
        <v>2</v>
      </c>
      <c r="J248" t="s">
        <v>98</v>
      </c>
      <c r="K248" t="s">
        <v>595</v>
      </c>
      <c r="L248" t="s">
        <v>98</v>
      </c>
      <c r="M248" t="s">
        <v>9</v>
      </c>
    </row>
    <row r="249" spans="1:13">
      <c r="A249" s="2">
        <v>92827</v>
      </c>
      <c r="B249" t="s">
        <v>65</v>
      </c>
      <c r="C249" s="1">
        <v>42627</v>
      </c>
      <c r="D249" t="s">
        <v>596</v>
      </c>
      <c r="E249" t="s">
        <v>95</v>
      </c>
      <c r="F249" t="s">
        <v>96</v>
      </c>
      <c r="G249" t="s">
        <v>0</v>
      </c>
      <c r="H249" t="s">
        <v>1</v>
      </c>
      <c r="I249" t="s">
        <v>2</v>
      </c>
      <c r="J249" t="s">
        <v>98</v>
      </c>
      <c r="K249" t="s">
        <v>597</v>
      </c>
      <c r="L249" t="s">
        <v>98</v>
      </c>
      <c r="M249" t="s">
        <v>9</v>
      </c>
    </row>
    <row r="250" spans="1:13">
      <c r="A250" s="2">
        <v>92829</v>
      </c>
      <c r="B250" t="s">
        <v>212</v>
      </c>
      <c r="C250" s="1">
        <v>43369</v>
      </c>
      <c r="D250" t="s">
        <v>598</v>
      </c>
      <c r="E250" t="s">
        <v>95</v>
      </c>
      <c r="F250" t="s">
        <v>96</v>
      </c>
      <c r="G250" t="s">
        <v>0</v>
      </c>
      <c r="H250" t="s">
        <v>1</v>
      </c>
      <c r="I250" t="s">
        <v>2</v>
      </c>
      <c r="J250" t="s">
        <v>98</v>
      </c>
      <c r="K250" t="s">
        <v>599</v>
      </c>
      <c r="L250" t="s">
        <v>98</v>
      </c>
      <c r="M250" t="s">
        <v>9</v>
      </c>
    </row>
    <row r="251" spans="1:13">
      <c r="A251" s="2">
        <v>127662</v>
      </c>
      <c r="B251" t="s">
        <v>86</v>
      </c>
      <c r="C251" s="1">
        <v>43047</v>
      </c>
      <c r="D251" t="s">
        <v>674</v>
      </c>
      <c r="E251" t="s">
        <v>95</v>
      </c>
      <c r="F251" t="s">
        <v>96</v>
      </c>
      <c r="G251" t="s">
        <v>0</v>
      </c>
      <c r="H251" t="s">
        <v>1</v>
      </c>
      <c r="I251" t="s">
        <v>2</v>
      </c>
      <c r="J251" t="s">
        <v>98</v>
      </c>
      <c r="K251" t="s">
        <v>675</v>
      </c>
      <c r="L251" t="s">
        <v>98</v>
      </c>
      <c r="M251" t="s">
        <v>9</v>
      </c>
    </row>
    <row r="252" spans="1:13">
      <c r="A252" s="2">
        <v>127667</v>
      </c>
      <c r="B252" t="s">
        <v>65</v>
      </c>
      <c r="C252" s="1">
        <v>42888</v>
      </c>
      <c r="D252" t="s">
        <v>676</v>
      </c>
      <c r="E252" t="s">
        <v>95</v>
      </c>
      <c r="F252" t="s">
        <v>96</v>
      </c>
      <c r="G252" t="s">
        <v>0</v>
      </c>
      <c r="H252" t="s">
        <v>1</v>
      </c>
      <c r="I252" t="s">
        <v>2</v>
      </c>
      <c r="J252" t="s">
        <v>98</v>
      </c>
      <c r="K252" t="s">
        <v>677</v>
      </c>
      <c r="L252" t="s">
        <v>98</v>
      </c>
      <c r="M252" t="s">
        <v>9</v>
      </c>
    </row>
    <row r="253" spans="1:13">
      <c r="A253" s="2">
        <v>127687</v>
      </c>
      <c r="B253" t="s">
        <v>86</v>
      </c>
      <c r="C253" s="1">
        <v>43047</v>
      </c>
      <c r="D253" t="s">
        <v>678</v>
      </c>
      <c r="E253" t="s">
        <v>95</v>
      </c>
      <c r="F253" t="s">
        <v>96</v>
      </c>
      <c r="G253" t="s">
        <v>0</v>
      </c>
      <c r="H253" t="s">
        <v>1</v>
      </c>
      <c r="I253" t="s">
        <v>2</v>
      </c>
      <c r="J253" t="s">
        <v>98</v>
      </c>
      <c r="K253" t="s">
        <v>679</v>
      </c>
      <c r="L253" t="s">
        <v>98</v>
      </c>
      <c r="M253" t="s">
        <v>9</v>
      </c>
    </row>
    <row r="254" spans="1:13">
      <c r="A254" s="2">
        <v>138835</v>
      </c>
      <c r="B254" t="s">
        <v>212</v>
      </c>
      <c r="C254" s="1">
        <v>42627</v>
      </c>
      <c r="D254" t="s">
        <v>690</v>
      </c>
      <c r="E254" t="s">
        <v>95</v>
      </c>
      <c r="F254" t="s">
        <v>96</v>
      </c>
      <c r="G254" t="s">
        <v>0</v>
      </c>
      <c r="H254" t="s">
        <v>1</v>
      </c>
      <c r="I254" t="s">
        <v>2</v>
      </c>
      <c r="J254" t="s">
        <v>98</v>
      </c>
      <c r="K254" t="s">
        <v>691</v>
      </c>
      <c r="L254" t="s">
        <v>98</v>
      </c>
      <c r="M254" t="s">
        <v>9</v>
      </c>
    </row>
    <row r="255" spans="1:13">
      <c r="A255" s="2">
        <v>138836</v>
      </c>
      <c r="B255" t="s">
        <v>212</v>
      </c>
      <c r="C255" s="1">
        <v>42683</v>
      </c>
      <c r="D255" t="s">
        <v>692</v>
      </c>
      <c r="E255" t="s">
        <v>95</v>
      </c>
      <c r="F255" t="s">
        <v>96</v>
      </c>
      <c r="G255" t="s">
        <v>0</v>
      </c>
      <c r="H255" t="s">
        <v>1</v>
      </c>
      <c r="I255" t="s">
        <v>2</v>
      </c>
      <c r="J255" t="s">
        <v>98</v>
      </c>
      <c r="K255" t="s">
        <v>693</v>
      </c>
      <c r="L255" t="s">
        <v>98</v>
      </c>
      <c r="M255" t="s">
        <v>9</v>
      </c>
    </row>
    <row r="256" spans="1:13">
      <c r="A256" s="2">
        <v>138837</v>
      </c>
      <c r="B256" t="s">
        <v>65</v>
      </c>
      <c r="C256" s="1">
        <v>42627</v>
      </c>
      <c r="D256" t="s">
        <v>694</v>
      </c>
      <c r="E256" t="s">
        <v>95</v>
      </c>
      <c r="F256" t="s">
        <v>96</v>
      </c>
      <c r="G256" t="s">
        <v>0</v>
      </c>
      <c r="H256" t="s">
        <v>1</v>
      </c>
      <c r="I256" t="s">
        <v>2</v>
      </c>
      <c r="J256" t="s">
        <v>98</v>
      </c>
      <c r="K256" t="s">
        <v>695</v>
      </c>
      <c r="L256" t="s">
        <v>98</v>
      </c>
      <c r="M256" t="s">
        <v>9</v>
      </c>
    </row>
    <row r="257" spans="1:13">
      <c r="A257" s="2">
        <v>141485</v>
      </c>
      <c r="B257" t="s">
        <v>3</v>
      </c>
      <c r="C257" s="1">
        <v>43026</v>
      </c>
      <c r="D257" t="s">
        <v>704</v>
      </c>
      <c r="E257" t="s">
        <v>95</v>
      </c>
      <c r="F257" t="s">
        <v>96</v>
      </c>
      <c r="G257" t="s">
        <v>0</v>
      </c>
      <c r="H257" t="s">
        <v>1</v>
      </c>
      <c r="I257" t="s">
        <v>2</v>
      </c>
      <c r="J257" t="s">
        <v>98</v>
      </c>
      <c r="K257" t="s">
        <v>705</v>
      </c>
      <c r="L257" t="s">
        <v>98</v>
      </c>
      <c r="M257" t="s">
        <v>9</v>
      </c>
    </row>
    <row r="258" spans="1:13">
      <c r="A258" s="2">
        <v>141654</v>
      </c>
      <c r="B258" t="s">
        <v>3</v>
      </c>
      <c r="C258" s="1">
        <v>43026</v>
      </c>
      <c r="D258" t="s">
        <v>706</v>
      </c>
      <c r="E258" t="s">
        <v>95</v>
      </c>
      <c r="F258" t="s">
        <v>96</v>
      </c>
      <c r="G258" t="s">
        <v>0</v>
      </c>
      <c r="H258" t="s">
        <v>1</v>
      </c>
      <c r="I258" t="s">
        <v>2</v>
      </c>
      <c r="J258" t="s">
        <v>98</v>
      </c>
      <c r="K258" t="s">
        <v>707</v>
      </c>
      <c r="L258" t="s">
        <v>98</v>
      </c>
      <c r="M258" t="s">
        <v>9</v>
      </c>
    </row>
    <row r="259" spans="1:13">
      <c r="A259" s="2">
        <v>142269</v>
      </c>
      <c r="B259" t="s">
        <v>3</v>
      </c>
      <c r="C259" s="1">
        <v>43026</v>
      </c>
      <c r="D259" t="s">
        <v>708</v>
      </c>
      <c r="E259" t="s">
        <v>95</v>
      </c>
      <c r="F259" t="s">
        <v>96</v>
      </c>
      <c r="G259" t="s">
        <v>0</v>
      </c>
      <c r="H259" t="s">
        <v>1</v>
      </c>
      <c r="I259" t="s">
        <v>2</v>
      </c>
      <c r="J259" t="s">
        <v>98</v>
      </c>
      <c r="K259" t="s">
        <v>709</v>
      </c>
      <c r="L259" t="s">
        <v>98</v>
      </c>
      <c r="M259" t="s">
        <v>9</v>
      </c>
    </row>
    <row r="260" spans="1:13">
      <c r="A260" s="2">
        <v>142423</v>
      </c>
      <c r="B260" t="s">
        <v>3</v>
      </c>
      <c r="C260" s="1">
        <v>43026</v>
      </c>
      <c r="D260" t="s">
        <v>710</v>
      </c>
      <c r="E260" t="s">
        <v>95</v>
      </c>
      <c r="F260" t="s">
        <v>96</v>
      </c>
      <c r="G260" t="s">
        <v>0</v>
      </c>
      <c r="H260" t="s">
        <v>1</v>
      </c>
      <c r="I260" t="s">
        <v>2</v>
      </c>
      <c r="J260" t="s">
        <v>98</v>
      </c>
      <c r="K260" t="s">
        <v>711</v>
      </c>
      <c r="L260" t="s">
        <v>98</v>
      </c>
      <c r="M260" t="s">
        <v>9</v>
      </c>
    </row>
    <row r="261" spans="1:13">
      <c r="A261" s="2">
        <v>142681</v>
      </c>
      <c r="B261" t="s">
        <v>86</v>
      </c>
      <c r="C261" s="1">
        <v>43047</v>
      </c>
      <c r="D261" t="s">
        <v>712</v>
      </c>
      <c r="E261" t="s">
        <v>95</v>
      </c>
      <c r="F261" t="s">
        <v>96</v>
      </c>
      <c r="G261" t="s">
        <v>0</v>
      </c>
      <c r="H261" t="s">
        <v>1</v>
      </c>
      <c r="I261" t="s">
        <v>2</v>
      </c>
      <c r="J261" t="s">
        <v>98</v>
      </c>
      <c r="K261" t="s">
        <v>713</v>
      </c>
      <c r="L261" t="s">
        <v>98</v>
      </c>
      <c r="M261" t="s">
        <v>9</v>
      </c>
    </row>
    <row r="262" spans="1:13">
      <c r="A262" s="2">
        <v>183722</v>
      </c>
      <c r="B262" t="s">
        <v>3</v>
      </c>
      <c r="C262" s="1">
        <v>43026</v>
      </c>
      <c r="D262" t="s">
        <v>766</v>
      </c>
      <c r="E262" t="s">
        <v>95</v>
      </c>
      <c r="F262" t="s">
        <v>96</v>
      </c>
      <c r="G262" t="s">
        <v>0</v>
      </c>
      <c r="H262" t="s">
        <v>1</v>
      </c>
      <c r="I262" t="s">
        <v>2</v>
      </c>
      <c r="J262" t="s">
        <v>98</v>
      </c>
      <c r="K262" t="s">
        <v>767</v>
      </c>
      <c r="L262" t="s">
        <v>98</v>
      </c>
      <c r="M262" t="s">
        <v>9</v>
      </c>
    </row>
    <row r="263" spans="1:13">
      <c r="A263" s="2">
        <v>184104</v>
      </c>
      <c r="B263" t="s">
        <v>86</v>
      </c>
      <c r="C263" s="1">
        <v>43087</v>
      </c>
      <c r="D263" t="s">
        <v>768</v>
      </c>
      <c r="E263" t="s">
        <v>95</v>
      </c>
      <c r="F263" t="s">
        <v>96</v>
      </c>
      <c r="G263" t="s">
        <v>0</v>
      </c>
      <c r="H263" t="s">
        <v>1</v>
      </c>
      <c r="I263" t="s">
        <v>2</v>
      </c>
      <c r="J263" t="s">
        <v>98</v>
      </c>
      <c r="K263" t="s">
        <v>769</v>
      </c>
      <c r="L263" t="s">
        <v>98</v>
      </c>
      <c r="M263" t="s">
        <v>9</v>
      </c>
    </row>
    <row r="264" spans="1:13">
      <c r="A264" s="2">
        <v>184505</v>
      </c>
      <c r="B264" t="s">
        <v>86</v>
      </c>
      <c r="C264" s="1">
        <v>42718</v>
      </c>
      <c r="D264" t="s">
        <v>770</v>
      </c>
      <c r="E264" t="s">
        <v>95</v>
      </c>
      <c r="F264" t="s">
        <v>96</v>
      </c>
      <c r="G264" t="s">
        <v>0</v>
      </c>
      <c r="H264" t="s">
        <v>1</v>
      </c>
      <c r="I264" t="s">
        <v>2</v>
      </c>
      <c r="J264" t="s">
        <v>98</v>
      </c>
      <c r="K264" t="s">
        <v>771</v>
      </c>
      <c r="L264" t="s">
        <v>98</v>
      </c>
      <c r="M264" t="s">
        <v>9</v>
      </c>
    </row>
    <row r="265" spans="1:13">
      <c r="A265" s="2">
        <v>185213</v>
      </c>
      <c r="B265" t="s">
        <v>24</v>
      </c>
      <c r="C265" s="1">
        <v>43026</v>
      </c>
      <c r="D265" t="s">
        <v>772</v>
      </c>
      <c r="E265" t="s">
        <v>95</v>
      </c>
      <c r="F265" t="s">
        <v>96</v>
      </c>
      <c r="G265" t="s">
        <v>0</v>
      </c>
      <c r="H265" t="s">
        <v>1</v>
      </c>
      <c r="I265" t="s">
        <v>2</v>
      </c>
      <c r="J265" t="s">
        <v>98</v>
      </c>
      <c r="K265" t="s">
        <v>773</v>
      </c>
      <c r="L265" t="s">
        <v>98</v>
      </c>
      <c r="M265" t="s">
        <v>9</v>
      </c>
    </row>
    <row r="266" spans="1:13">
      <c r="A266" s="2">
        <v>185989</v>
      </c>
      <c r="B266" t="s">
        <v>86</v>
      </c>
      <c r="C266" s="1">
        <v>43047</v>
      </c>
      <c r="D266" t="s">
        <v>774</v>
      </c>
      <c r="E266" t="s">
        <v>95</v>
      </c>
      <c r="F266" t="s">
        <v>96</v>
      </c>
      <c r="G266" t="s">
        <v>0</v>
      </c>
      <c r="H266" t="s">
        <v>1</v>
      </c>
      <c r="I266" t="s">
        <v>2</v>
      </c>
      <c r="J266" t="s">
        <v>98</v>
      </c>
      <c r="K266" t="s">
        <v>775</v>
      </c>
      <c r="L266" t="s">
        <v>98</v>
      </c>
      <c r="M266" t="s">
        <v>9</v>
      </c>
    </row>
    <row r="267" spans="1:13">
      <c r="A267" s="2">
        <v>187590</v>
      </c>
      <c r="B267" t="s">
        <v>24</v>
      </c>
      <c r="C267" s="1">
        <v>43026</v>
      </c>
      <c r="D267" t="s">
        <v>776</v>
      </c>
      <c r="E267" t="s">
        <v>95</v>
      </c>
      <c r="F267" t="s">
        <v>96</v>
      </c>
      <c r="G267" t="s">
        <v>0</v>
      </c>
      <c r="H267" t="s">
        <v>1</v>
      </c>
      <c r="I267" t="s">
        <v>2</v>
      </c>
      <c r="J267" t="s">
        <v>98</v>
      </c>
      <c r="K267" t="s">
        <v>777</v>
      </c>
      <c r="L267" t="s">
        <v>98</v>
      </c>
      <c r="M267" t="s">
        <v>9</v>
      </c>
    </row>
    <row r="268" spans="1:13">
      <c r="A268" s="2">
        <v>187657</v>
      </c>
      <c r="B268" t="s">
        <v>3</v>
      </c>
      <c r="C268" s="1">
        <v>43026</v>
      </c>
      <c r="D268" t="s">
        <v>778</v>
      </c>
      <c r="E268" t="s">
        <v>95</v>
      </c>
      <c r="F268" t="s">
        <v>96</v>
      </c>
      <c r="G268" t="s">
        <v>0</v>
      </c>
      <c r="H268" t="s">
        <v>1</v>
      </c>
      <c r="I268" t="s">
        <v>2</v>
      </c>
      <c r="J268" t="s">
        <v>98</v>
      </c>
      <c r="K268" t="s">
        <v>779</v>
      </c>
      <c r="L268" t="s">
        <v>98</v>
      </c>
      <c r="M268" t="s">
        <v>9</v>
      </c>
    </row>
    <row r="269" spans="1:13">
      <c r="A269" s="2">
        <v>187673</v>
      </c>
      <c r="B269" t="s">
        <v>86</v>
      </c>
      <c r="C269" s="1">
        <v>43047</v>
      </c>
      <c r="D269" t="s">
        <v>780</v>
      </c>
      <c r="E269" t="s">
        <v>95</v>
      </c>
      <c r="F269" t="s">
        <v>96</v>
      </c>
      <c r="G269" t="s">
        <v>0</v>
      </c>
      <c r="H269" t="s">
        <v>1</v>
      </c>
      <c r="I269" t="s">
        <v>2</v>
      </c>
      <c r="J269" t="s">
        <v>98</v>
      </c>
      <c r="K269" t="s">
        <v>781</v>
      </c>
      <c r="L269" t="s">
        <v>98</v>
      </c>
      <c r="M269" t="s">
        <v>9</v>
      </c>
    </row>
    <row r="270" spans="1:13">
      <c r="A270" s="2">
        <v>189406</v>
      </c>
      <c r="B270" t="s">
        <v>3</v>
      </c>
      <c r="C270" s="1">
        <v>43026</v>
      </c>
      <c r="D270" t="s">
        <v>785</v>
      </c>
      <c r="E270" t="s">
        <v>95</v>
      </c>
      <c r="F270" t="s">
        <v>96</v>
      </c>
      <c r="G270" t="s">
        <v>0</v>
      </c>
      <c r="H270" t="s">
        <v>1</v>
      </c>
      <c r="I270" t="s">
        <v>2</v>
      </c>
      <c r="J270" t="s">
        <v>98</v>
      </c>
      <c r="K270" t="s">
        <v>786</v>
      </c>
      <c r="L270" t="s">
        <v>98</v>
      </c>
      <c r="M270" t="s">
        <v>9</v>
      </c>
    </row>
    <row r="271" spans="1:13">
      <c r="A271" s="2">
        <v>189411</v>
      </c>
      <c r="B271" t="s">
        <v>3</v>
      </c>
      <c r="C271" s="1">
        <v>43026</v>
      </c>
      <c r="D271" t="s">
        <v>787</v>
      </c>
      <c r="E271" t="s">
        <v>95</v>
      </c>
      <c r="F271" t="s">
        <v>96</v>
      </c>
      <c r="G271" t="s">
        <v>0</v>
      </c>
      <c r="H271" t="s">
        <v>1</v>
      </c>
      <c r="I271" t="s">
        <v>2</v>
      </c>
      <c r="J271" t="s">
        <v>98</v>
      </c>
      <c r="K271" t="s">
        <v>788</v>
      </c>
      <c r="L271" t="s">
        <v>98</v>
      </c>
      <c r="M271" t="s">
        <v>9</v>
      </c>
    </row>
    <row r="272" spans="1:13">
      <c r="A272" s="2">
        <v>189425</v>
      </c>
      <c r="B272" t="s">
        <v>212</v>
      </c>
      <c r="C272" s="1">
        <v>42718</v>
      </c>
      <c r="D272" t="s">
        <v>789</v>
      </c>
      <c r="E272" t="s">
        <v>95</v>
      </c>
      <c r="F272" t="s">
        <v>96</v>
      </c>
      <c r="G272" t="s">
        <v>0</v>
      </c>
      <c r="H272" t="s">
        <v>1</v>
      </c>
      <c r="I272" t="s">
        <v>2</v>
      </c>
      <c r="J272" t="s">
        <v>98</v>
      </c>
      <c r="K272" t="s">
        <v>790</v>
      </c>
      <c r="L272" t="s">
        <v>98</v>
      </c>
      <c r="M272" t="s">
        <v>9</v>
      </c>
    </row>
    <row r="273" spans="1:13">
      <c r="A273" s="2">
        <v>189426</v>
      </c>
      <c r="B273" t="s">
        <v>212</v>
      </c>
      <c r="C273" s="1">
        <v>42718</v>
      </c>
      <c r="D273" t="s">
        <v>791</v>
      </c>
      <c r="E273" t="s">
        <v>95</v>
      </c>
      <c r="F273" t="s">
        <v>96</v>
      </c>
      <c r="G273" t="s">
        <v>0</v>
      </c>
      <c r="H273" t="s">
        <v>1</v>
      </c>
      <c r="I273" t="s">
        <v>2</v>
      </c>
      <c r="J273" t="s">
        <v>98</v>
      </c>
      <c r="K273" t="s">
        <v>792</v>
      </c>
      <c r="L273" t="s">
        <v>98</v>
      </c>
      <c r="M273" t="s">
        <v>9</v>
      </c>
    </row>
    <row r="274" spans="1:13">
      <c r="A274" s="2">
        <v>189441</v>
      </c>
      <c r="B274" t="s">
        <v>3</v>
      </c>
      <c r="C274" s="1">
        <v>43026</v>
      </c>
      <c r="D274" t="s">
        <v>793</v>
      </c>
      <c r="E274" t="s">
        <v>95</v>
      </c>
      <c r="F274" t="s">
        <v>96</v>
      </c>
      <c r="G274" t="s">
        <v>0</v>
      </c>
      <c r="H274" t="s">
        <v>1</v>
      </c>
      <c r="I274" t="s">
        <v>2</v>
      </c>
      <c r="J274" t="s">
        <v>98</v>
      </c>
      <c r="K274" t="s">
        <v>794</v>
      </c>
      <c r="L274" t="s">
        <v>98</v>
      </c>
      <c r="M274" t="s">
        <v>9</v>
      </c>
    </row>
    <row r="275" spans="1:13">
      <c r="A275" s="2">
        <v>189462</v>
      </c>
      <c r="B275" t="s">
        <v>24</v>
      </c>
      <c r="C275" s="1">
        <v>43026</v>
      </c>
      <c r="D275" t="s">
        <v>795</v>
      </c>
      <c r="E275" t="s">
        <v>95</v>
      </c>
      <c r="F275" t="s">
        <v>96</v>
      </c>
      <c r="G275" t="s">
        <v>0</v>
      </c>
      <c r="H275" t="s">
        <v>1</v>
      </c>
      <c r="I275" t="s">
        <v>2</v>
      </c>
      <c r="J275" t="s">
        <v>98</v>
      </c>
      <c r="K275" t="s">
        <v>796</v>
      </c>
      <c r="L275" t="s">
        <v>98</v>
      </c>
      <c r="M275" t="s">
        <v>9</v>
      </c>
    </row>
    <row r="276" spans="1:13">
      <c r="A276" s="2">
        <v>189500</v>
      </c>
      <c r="B276" t="s">
        <v>3</v>
      </c>
      <c r="C276" s="1">
        <v>43026</v>
      </c>
      <c r="D276" t="s">
        <v>797</v>
      </c>
      <c r="E276" t="s">
        <v>95</v>
      </c>
      <c r="F276" t="s">
        <v>96</v>
      </c>
      <c r="G276" t="s">
        <v>0</v>
      </c>
      <c r="H276" t="s">
        <v>1</v>
      </c>
      <c r="I276" t="s">
        <v>2</v>
      </c>
      <c r="J276" t="s">
        <v>98</v>
      </c>
      <c r="K276" t="s">
        <v>798</v>
      </c>
      <c r="L276" t="s">
        <v>98</v>
      </c>
      <c r="M276" t="s">
        <v>9</v>
      </c>
    </row>
    <row r="277" spans="1:13">
      <c r="A277" s="2">
        <v>189520</v>
      </c>
      <c r="B277" t="s">
        <v>65</v>
      </c>
      <c r="C277" s="1">
        <v>42627</v>
      </c>
      <c r="D277" t="s">
        <v>799</v>
      </c>
      <c r="E277" t="s">
        <v>95</v>
      </c>
      <c r="F277" t="s">
        <v>96</v>
      </c>
      <c r="G277" t="s">
        <v>0</v>
      </c>
      <c r="H277" t="s">
        <v>1</v>
      </c>
      <c r="I277" t="s">
        <v>2</v>
      </c>
      <c r="J277" t="s">
        <v>98</v>
      </c>
      <c r="K277" t="s">
        <v>800</v>
      </c>
      <c r="L277" t="s">
        <v>98</v>
      </c>
      <c r="M277" t="s">
        <v>9</v>
      </c>
    </row>
    <row r="278" spans="1:13">
      <c r="A278" s="2">
        <v>220007</v>
      </c>
      <c r="B278" t="s">
        <v>24</v>
      </c>
      <c r="C278" s="1">
        <v>43369</v>
      </c>
      <c r="D278" t="s">
        <v>806</v>
      </c>
      <c r="E278" t="s">
        <v>95</v>
      </c>
      <c r="F278" t="s">
        <v>96</v>
      </c>
      <c r="G278" t="s">
        <v>0</v>
      </c>
      <c r="H278" t="s">
        <v>1</v>
      </c>
      <c r="I278" t="s">
        <v>2</v>
      </c>
      <c r="J278" t="s">
        <v>98</v>
      </c>
      <c r="K278" t="s">
        <v>807</v>
      </c>
      <c r="L278" t="s">
        <v>98</v>
      </c>
      <c r="M278" t="s">
        <v>9</v>
      </c>
    </row>
    <row r="279" spans="1:13">
      <c r="A279" s="2">
        <v>231916</v>
      </c>
      <c r="B279" t="s">
        <v>24</v>
      </c>
      <c r="C279" s="1">
        <v>43026</v>
      </c>
      <c r="D279" t="s">
        <v>816</v>
      </c>
      <c r="E279" t="s">
        <v>95</v>
      </c>
      <c r="F279" t="s">
        <v>96</v>
      </c>
      <c r="G279" t="s">
        <v>0</v>
      </c>
      <c r="H279" t="s">
        <v>1</v>
      </c>
      <c r="I279" t="s">
        <v>2</v>
      </c>
      <c r="J279" t="s">
        <v>98</v>
      </c>
      <c r="K279" t="s">
        <v>817</v>
      </c>
      <c r="L279" t="s">
        <v>98</v>
      </c>
      <c r="M279" t="s">
        <v>9</v>
      </c>
    </row>
    <row r="280" spans="1:13">
      <c r="A280" s="2">
        <v>233415</v>
      </c>
      <c r="B280" t="s">
        <v>212</v>
      </c>
      <c r="C280" s="1">
        <v>42655</v>
      </c>
      <c r="D280" t="s">
        <v>818</v>
      </c>
      <c r="E280" t="s">
        <v>95</v>
      </c>
      <c r="F280" t="s">
        <v>96</v>
      </c>
      <c r="G280" t="s">
        <v>0</v>
      </c>
      <c r="H280" t="s">
        <v>1</v>
      </c>
      <c r="I280" t="s">
        <v>2</v>
      </c>
      <c r="J280" t="s">
        <v>98</v>
      </c>
      <c r="K280" t="s">
        <v>819</v>
      </c>
      <c r="L280" t="s">
        <v>98</v>
      </c>
      <c r="M280" t="s">
        <v>9</v>
      </c>
    </row>
    <row r="281" spans="1:13">
      <c r="A281" s="2">
        <v>404140</v>
      </c>
      <c r="B281" t="s">
        <v>24</v>
      </c>
      <c r="C281" s="1">
        <v>43026</v>
      </c>
      <c r="D281" t="s">
        <v>838</v>
      </c>
      <c r="E281" t="s">
        <v>95</v>
      </c>
      <c r="F281" t="s">
        <v>96</v>
      </c>
      <c r="G281" t="s">
        <v>0</v>
      </c>
      <c r="H281" t="s">
        <v>1</v>
      </c>
      <c r="I281" t="s">
        <v>2</v>
      </c>
      <c r="J281" t="s">
        <v>98</v>
      </c>
      <c r="K281" t="s">
        <v>839</v>
      </c>
      <c r="L281" t="s">
        <v>98</v>
      </c>
      <c r="M281" t="s">
        <v>9</v>
      </c>
    </row>
    <row r="282" spans="1:13">
      <c r="A282" s="2">
        <v>404147</v>
      </c>
      <c r="B282" t="s">
        <v>86</v>
      </c>
      <c r="C282" s="1">
        <v>43103</v>
      </c>
      <c r="D282" t="s">
        <v>840</v>
      </c>
      <c r="E282" t="s">
        <v>95</v>
      </c>
      <c r="F282" t="s">
        <v>96</v>
      </c>
      <c r="G282" t="s">
        <v>0</v>
      </c>
      <c r="H282" t="s">
        <v>1</v>
      </c>
      <c r="I282" t="s">
        <v>2</v>
      </c>
      <c r="J282" t="s">
        <v>98</v>
      </c>
      <c r="K282" t="s">
        <v>841</v>
      </c>
      <c r="L282" t="s">
        <v>98</v>
      </c>
      <c r="M282" t="s">
        <v>9</v>
      </c>
    </row>
    <row r="283" spans="1:13">
      <c r="A283" s="2">
        <v>6821</v>
      </c>
      <c r="B283" t="s">
        <v>3</v>
      </c>
      <c r="C283" s="1">
        <v>42828</v>
      </c>
      <c r="D283" t="s">
        <v>89</v>
      </c>
      <c r="E283" t="s">
        <v>90</v>
      </c>
      <c r="F283" t="s">
        <v>91</v>
      </c>
      <c r="G283" t="s">
        <v>0</v>
      </c>
      <c r="H283" t="s">
        <v>1</v>
      </c>
      <c r="I283" t="s">
        <v>2</v>
      </c>
      <c r="J283" t="s">
        <v>911</v>
      </c>
      <c r="K283" t="s">
        <v>92</v>
      </c>
      <c r="L283" t="s">
        <v>93</v>
      </c>
      <c r="M283" t="s">
        <v>9</v>
      </c>
    </row>
    <row r="284" spans="1:13">
      <c r="A284" s="2">
        <v>8272</v>
      </c>
      <c r="B284" t="s">
        <v>3</v>
      </c>
      <c r="C284" s="1">
        <v>42864</v>
      </c>
      <c r="D284" t="s">
        <v>101</v>
      </c>
      <c r="E284" t="s">
        <v>102</v>
      </c>
      <c r="F284" t="s">
        <v>103</v>
      </c>
      <c r="G284" t="s">
        <v>0</v>
      </c>
      <c r="H284" t="s">
        <v>1</v>
      </c>
      <c r="I284" t="s">
        <v>2</v>
      </c>
      <c r="J284" t="s">
        <v>911</v>
      </c>
      <c r="K284" t="s">
        <v>104</v>
      </c>
      <c r="L284" t="s">
        <v>105</v>
      </c>
      <c r="M284" t="s">
        <v>9</v>
      </c>
    </row>
    <row r="285" spans="1:13">
      <c r="A285" s="2">
        <v>8273</v>
      </c>
      <c r="B285" t="s">
        <v>3</v>
      </c>
      <c r="C285" s="1">
        <v>42864</v>
      </c>
      <c r="D285" t="s">
        <v>106</v>
      </c>
      <c r="E285" t="s">
        <v>102</v>
      </c>
      <c r="F285" t="s">
        <v>103</v>
      </c>
      <c r="G285" t="s">
        <v>0</v>
      </c>
      <c r="H285" t="s">
        <v>1</v>
      </c>
      <c r="I285" t="s">
        <v>2</v>
      </c>
      <c r="J285" t="s">
        <v>911</v>
      </c>
      <c r="K285" t="s">
        <v>107</v>
      </c>
      <c r="L285" t="s">
        <v>105</v>
      </c>
      <c r="M285" t="s">
        <v>9</v>
      </c>
    </row>
    <row r="286" spans="1:13">
      <c r="A286" s="2">
        <v>8274</v>
      </c>
      <c r="B286" t="s">
        <v>24</v>
      </c>
      <c r="C286" s="1">
        <v>42864</v>
      </c>
      <c r="D286" t="s">
        <v>108</v>
      </c>
      <c r="E286" t="s">
        <v>109</v>
      </c>
      <c r="F286" t="s">
        <v>110</v>
      </c>
      <c r="G286" t="s">
        <v>0</v>
      </c>
      <c r="H286" t="s">
        <v>1</v>
      </c>
      <c r="I286" t="s">
        <v>2</v>
      </c>
      <c r="J286" t="s">
        <v>911</v>
      </c>
      <c r="K286" t="s">
        <v>111</v>
      </c>
      <c r="L286" t="s">
        <v>105</v>
      </c>
      <c r="M286" t="s">
        <v>9</v>
      </c>
    </row>
    <row r="287" spans="1:13">
      <c r="A287" s="2">
        <v>8275</v>
      </c>
      <c r="B287" t="s">
        <v>3</v>
      </c>
      <c r="C287" s="1">
        <v>42864</v>
      </c>
      <c r="D287" t="s">
        <v>112</v>
      </c>
      <c r="E287" t="s">
        <v>102</v>
      </c>
      <c r="F287" t="s">
        <v>103</v>
      </c>
      <c r="G287" t="s">
        <v>0</v>
      </c>
      <c r="H287" t="s">
        <v>1</v>
      </c>
      <c r="I287" t="s">
        <v>2</v>
      </c>
      <c r="J287" t="s">
        <v>911</v>
      </c>
      <c r="K287" t="s">
        <v>113</v>
      </c>
      <c r="L287" t="s">
        <v>105</v>
      </c>
      <c r="M287" t="s">
        <v>9</v>
      </c>
    </row>
    <row r="288" spans="1:13">
      <c r="A288" s="2">
        <v>12586</v>
      </c>
      <c r="B288" t="s">
        <v>3</v>
      </c>
      <c r="C288" s="1">
        <v>42828</v>
      </c>
      <c r="D288" t="s">
        <v>114</v>
      </c>
      <c r="E288" t="s">
        <v>102</v>
      </c>
      <c r="F288" t="s">
        <v>103</v>
      </c>
      <c r="G288" t="s">
        <v>0</v>
      </c>
      <c r="H288" t="s">
        <v>1</v>
      </c>
      <c r="I288" t="s">
        <v>2</v>
      </c>
      <c r="J288" t="s">
        <v>911</v>
      </c>
      <c r="K288" t="s">
        <v>115</v>
      </c>
      <c r="L288" t="s">
        <v>116</v>
      </c>
      <c r="M288" t="s">
        <v>9</v>
      </c>
    </row>
    <row r="289" spans="1:13">
      <c r="A289" s="2">
        <v>12587</v>
      </c>
      <c r="B289" t="s">
        <v>3</v>
      </c>
      <c r="C289" s="1">
        <v>42828</v>
      </c>
      <c r="D289" t="s">
        <v>117</v>
      </c>
      <c r="E289" t="s">
        <v>118</v>
      </c>
      <c r="F289" t="s">
        <v>119</v>
      </c>
      <c r="G289" t="s">
        <v>0</v>
      </c>
      <c r="H289" t="s">
        <v>1</v>
      </c>
      <c r="I289" t="s">
        <v>2</v>
      </c>
      <c r="J289" t="s">
        <v>911</v>
      </c>
      <c r="K289" t="s">
        <v>120</v>
      </c>
      <c r="L289" t="s">
        <v>116</v>
      </c>
      <c r="M289" t="s">
        <v>9</v>
      </c>
    </row>
    <row r="290" spans="1:13">
      <c r="A290" s="2">
        <v>12588</v>
      </c>
      <c r="B290" t="s">
        <v>3</v>
      </c>
      <c r="C290" s="1">
        <v>42828</v>
      </c>
      <c r="D290" t="s">
        <v>121</v>
      </c>
      <c r="E290" t="s">
        <v>118</v>
      </c>
      <c r="F290" t="s">
        <v>119</v>
      </c>
      <c r="G290" t="s">
        <v>0</v>
      </c>
      <c r="H290" t="s">
        <v>1</v>
      </c>
      <c r="I290" t="s">
        <v>2</v>
      </c>
      <c r="J290" t="s">
        <v>911</v>
      </c>
      <c r="K290" t="s">
        <v>122</v>
      </c>
      <c r="L290" t="s">
        <v>116</v>
      </c>
      <c r="M290" t="s">
        <v>9</v>
      </c>
    </row>
    <row r="291" spans="1:13">
      <c r="A291" s="2">
        <v>12589</v>
      </c>
      <c r="B291" t="s">
        <v>3</v>
      </c>
      <c r="C291" s="1">
        <v>42828</v>
      </c>
      <c r="D291" t="s">
        <v>123</v>
      </c>
      <c r="E291" t="s">
        <v>118</v>
      </c>
      <c r="F291" t="s">
        <v>119</v>
      </c>
      <c r="G291" t="s">
        <v>0</v>
      </c>
      <c r="H291" t="s">
        <v>1</v>
      </c>
      <c r="I291" t="s">
        <v>2</v>
      </c>
      <c r="J291" t="s">
        <v>911</v>
      </c>
      <c r="K291" t="s">
        <v>124</v>
      </c>
      <c r="L291" t="s">
        <v>116</v>
      </c>
      <c r="M291" t="s">
        <v>9</v>
      </c>
    </row>
    <row r="292" spans="1:13">
      <c r="A292" s="2">
        <v>12594</v>
      </c>
      <c r="B292" t="s">
        <v>3</v>
      </c>
      <c r="C292" s="1">
        <v>42828</v>
      </c>
      <c r="D292" t="s">
        <v>125</v>
      </c>
      <c r="E292" t="s">
        <v>118</v>
      </c>
      <c r="F292" t="s">
        <v>119</v>
      </c>
      <c r="G292" t="s">
        <v>0</v>
      </c>
      <c r="H292" t="s">
        <v>1</v>
      </c>
      <c r="I292" t="s">
        <v>2</v>
      </c>
      <c r="J292" t="s">
        <v>911</v>
      </c>
      <c r="K292" t="s">
        <v>126</v>
      </c>
      <c r="L292" t="s">
        <v>116</v>
      </c>
      <c r="M292" t="s">
        <v>9</v>
      </c>
    </row>
    <row r="293" spans="1:13">
      <c r="A293" s="2">
        <v>12602</v>
      </c>
      <c r="B293" t="s">
        <v>3</v>
      </c>
      <c r="C293" s="1">
        <v>42828</v>
      </c>
      <c r="D293" t="s">
        <v>127</v>
      </c>
      <c r="E293" t="s">
        <v>128</v>
      </c>
      <c r="F293" t="s">
        <v>129</v>
      </c>
      <c r="G293" t="s">
        <v>0</v>
      </c>
      <c r="H293" t="s">
        <v>1</v>
      </c>
      <c r="I293" t="s">
        <v>2</v>
      </c>
      <c r="J293" t="s">
        <v>911</v>
      </c>
      <c r="K293" t="s">
        <v>130</v>
      </c>
      <c r="L293" t="s">
        <v>131</v>
      </c>
      <c r="M293" t="s">
        <v>9</v>
      </c>
    </row>
    <row r="294" spans="1:13">
      <c r="A294" s="2">
        <v>12605</v>
      </c>
      <c r="B294" t="s">
        <v>3</v>
      </c>
      <c r="C294" s="1">
        <v>42828</v>
      </c>
      <c r="D294" t="s">
        <v>132</v>
      </c>
      <c r="E294" t="s">
        <v>128</v>
      </c>
      <c r="F294" t="s">
        <v>129</v>
      </c>
      <c r="G294" t="s">
        <v>0</v>
      </c>
      <c r="H294" t="s">
        <v>1</v>
      </c>
      <c r="I294" t="s">
        <v>2</v>
      </c>
      <c r="J294" t="s">
        <v>911</v>
      </c>
      <c r="K294" t="s">
        <v>133</v>
      </c>
      <c r="L294" t="s">
        <v>131</v>
      </c>
      <c r="M294" t="s">
        <v>9</v>
      </c>
    </row>
    <row r="295" spans="1:13">
      <c r="A295" s="2">
        <v>12606</v>
      </c>
      <c r="B295" t="s">
        <v>3</v>
      </c>
      <c r="C295" s="1">
        <v>42828</v>
      </c>
      <c r="D295" t="s">
        <v>134</v>
      </c>
      <c r="E295" t="s">
        <v>128</v>
      </c>
      <c r="F295" t="s">
        <v>129</v>
      </c>
      <c r="G295" t="s">
        <v>0</v>
      </c>
      <c r="H295" t="s">
        <v>1</v>
      </c>
      <c r="I295" t="s">
        <v>2</v>
      </c>
      <c r="J295" t="s">
        <v>911</v>
      </c>
      <c r="K295" t="s">
        <v>135</v>
      </c>
      <c r="L295" t="s">
        <v>131</v>
      </c>
      <c r="M295" t="s">
        <v>9</v>
      </c>
    </row>
    <row r="296" spans="1:13">
      <c r="A296" s="2">
        <v>12610</v>
      </c>
      <c r="B296" t="s">
        <v>3</v>
      </c>
      <c r="C296" s="1">
        <v>42828</v>
      </c>
      <c r="D296" t="s">
        <v>136</v>
      </c>
      <c r="E296" t="s">
        <v>128</v>
      </c>
      <c r="F296" t="s">
        <v>129</v>
      </c>
      <c r="G296" t="s">
        <v>0</v>
      </c>
      <c r="H296" t="s">
        <v>1</v>
      </c>
      <c r="I296" t="s">
        <v>2</v>
      </c>
      <c r="J296" t="s">
        <v>911</v>
      </c>
      <c r="K296" t="s">
        <v>137</v>
      </c>
      <c r="L296" t="s">
        <v>131</v>
      </c>
      <c r="M296" t="s">
        <v>9</v>
      </c>
    </row>
    <row r="297" spans="1:13">
      <c r="A297" s="2">
        <v>12871</v>
      </c>
      <c r="B297" t="s">
        <v>3</v>
      </c>
      <c r="C297" s="1">
        <v>42828</v>
      </c>
      <c r="D297" t="s">
        <v>138</v>
      </c>
      <c r="E297" t="s">
        <v>118</v>
      </c>
      <c r="F297" t="s">
        <v>119</v>
      </c>
      <c r="G297" t="s">
        <v>0</v>
      </c>
      <c r="H297" t="s">
        <v>1</v>
      </c>
      <c r="I297" t="s">
        <v>2</v>
      </c>
      <c r="J297" t="s">
        <v>911</v>
      </c>
      <c r="K297" t="s">
        <v>139</v>
      </c>
      <c r="L297" t="s">
        <v>140</v>
      </c>
      <c r="M297" t="s">
        <v>9</v>
      </c>
    </row>
    <row r="298" spans="1:13">
      <c r="A298" s="2">
        <v>13326</v>
      </c>
      <c r="B298" t="s">
        <v>3</v>
      </c>
      <c r="C298" s="1">
        <v>42828</v>
      </c>
      <c r="D298" t="s">
        <v>141</v>
      </c>
      <c r="E298" t="s">
        <v>118</v>
      </c>
      <c r="F298" t="s">
        <v>119</v>
      </c>
      <c r="G298" t="s">
        <v>0</v>
      </c>
      <c r="H298" t="s">
        <v>1</v>
      </c>
      <c r="I298" t="s">
        <v>2</v>
      </c>
      <c r="J298" t="s">
        <v>911</v>
      </c>
      <c r="K298" t="s">
        <v>142</v>
      </c>
      <c r="L298" t="s">
        <v>143</v>
      </c>
      <c r="M298" t="s">
        <v>9</v>
      </c>
    </row>
    <row r="299" spans="1:13">
      <c r="A299" s="2">
        <v>13331</v>
      </c>
      <c r="B299" t="s">
        <v>3</v>
      </c>
      <c r="C299" s="1">
        <v>42828</v>
      </c>
      <c r="D299" t="s">
        <v>144</v>
      </c>
      <c r="E299" t="s">
        <v>145</v>
      </c>
      <c r="F299" t="s">
        <v>146</v>
      </c>
      <c r="G299" t="s">
        <v>0</v>
      </c>
      <c r="H299" t="s">
        <v>1</v>
      </c>
      <c r="I299" t="s">
        <v>2</v>
      </c>
      <c r="J299" t="s">
        <v>911</v>
      </c>
      <c r="K299" t="s">
        <v>147</v>
      </c>
      <c r="L299" t="s">
        <v>143</v>
      </c>
      <c r="M299" t="s">
        <v>9</v>
      </c>
    </row>
    <row r="300" spans="1:13">
      <c r="A300" s="2">
        <v>13333</v>
      </c>
      <c r="B300" t="s">
        <v>3</v>
      </c>
      <c r="C300" s="1">
        <v>42828</v>
      </c>
      <c r="D300" t="s">
        <v>148</v>
      </c>
      <c r="E300" t="s">
        <v>118</v>
      </c>
      <c r="F300" t="s">
        <v>119</v>
      </c>
      <c r="G300" t="s">
        <v>0</v>
      </c>
      <c r="H300" t="s">
        <v>1</v>
      </c>
      <c r="I300" t="s">
        <v>2</v>
      </c>
      <c r="J300" t="s">
        <v>911</v>
      </c>
      <c r="K300" t="s">
        <v>149</v>
      </c>
      <c r="L300" t="s">
        <v>143</v>
      </c>
      <c r="M300" t="s">
        <v>9</v>
      </c>
    </row>
    <row r="301" spans="1:13">
      <c r="A301" s="2">
        <v>13344</v>
      </c>
      <c r="B301" t="s">
        <v>3</v>
      </c>
      <c r="C301" s="1">
        <v>42828</v>
      </c>
      <c r="D301" t="s">
        <v>150</v>
      </c>
      <c r="E301" t="s">
        <v>145</v>
      </c>
      <c r="F301" t="s">
        <v>146</v>
      </c>
      <c r="G301" t="s">
        <v>0</v>
      </c>
      <c r="H301" t="s">
        <v>1</v>
      </c>
      <c r="I301" t="s">
        <v>2</v>
      </c>
      <c r="J301" t="s">
        <v>911</v>
      </c>
      <c r="K301" t="s">
        <v>151</v>
      </c>
      <c r="L301" t="s">
        <v>143</v>
      </c>
      <c r="M301" t="s">
        <v>9</v>
      </c>
    </row>
    <row r="302" spans="1:13">
      <c r="A302" s="2">
        <v>13350</v>
      </c>
      <c r="B302" t="s">
        <v>3</v>
      </c>
      <c r="C302" s="1">
        <v>42864</v>
      </c>
      <c r="D302" t="s">
        <v>101</v>
      </c>
      <c r="E302" t="s">
        <v>102</v>
      </c>
      <c r="F302" t="s">
        <v>103</v>
      </c>
      <c r="G302" t="s">
        <v>0</v>
      </c>
      <c r="H302" t="s">
        <v>1</v>
      </c>
      <c r="I302" t="s">
        <v>2</v>
      </c>
      <c r="J302" t="s">
        <v>911</v>
      </c>
      <c r="K302" t="s">
        <v>152</v>
      </c>
      <c r="L302" t="s">
        <v>153</v>
      </c>
      <c r="M302" t="s">
        <v>9</v>
      </c>
    </row>
    <row r="303" spans="1:13">
      <c r="A303" s="2">
        <v>13351</v>
      </c>
      <c r="B303" t="s">
        <v>3</v>
      </c>
      <c r="C303" s="1">
        <v>42864</v>
      </c>
      <c r="D303" t="s">
        <v>154</v>
      </c>
      <c r="E303" t="s">
        <v>102</v>
      </c>
      <c r="F303" t="s">
        <v>103</v>
      </c>
      <c r="G303" t="s">
        <v>0</v>
      </c>
      <c r="H303" t="s">
        <v>1</v>
      </c>
      <c r="I303" t="s">
        <v>2</v>
      </c>
      <c r="J303" t="s">
        <v>911</v>
      </c>
      <c r="K303" t="s">
        <v>155</v>
      </c>
      <c r="L303" t="s">
        <v>153</v>
      </c>
      <c r="M303" t="s">
        <v>9</v>
      </c>
    </row>
    <row r="304" spans="1:13">
      <c r="A304" s="2">
        <v>13957</v>
      </c>
      <c r="B304" t="s">
        <v>3</v>
      </c>
      <c r="C304" s="1">
        <v>42828</v>
      </c>
      <c r="D304" t="s">
        <v>156</v>
      </c>
      <c r="E304" t="s">
        <v>118</v>
      </c>
      <c r="F304" t="s">
        <v>119</v>
      </c>
      <c r="G304" t="s">
        <v>0</v>
      </c>
      <c r="H304" t="s">
        <v>1</v>
      </c>
      <c r="I304" t="s">
        <v>2</v>
      </c>
      <c r="J304" t="s">
        <v>911</v>
      </c>
      <c r="K304" t="s">
        <v>157</v>
      </c>
      <c r="L304" t="s">
        <v>158</v>
      </c>
      <c r="M304" t="s">
        <v>9</v>
      </c>
    </row>
    <row r="305" spans="1:13">
      <c r="A305" s="2">
        <v>13958</v>
      </c>
      <c r="B305" t="s">
        <v>3</v>
      </c>
      <c r="C305" s="1">
        <v>42828</v>
      </c>
      <c r="D305" t="s">
        <v>159</v>
      </c>
      <c r="E305" t="s">
        <v>118</v>
      </c>
      <c r="F305" t="s">
        <v>119</v>
      </c>
      <c r="G305" t="s">
        <v>0</v>
      </c>
      <c r="H305" t="s">
        <v>1</v>
      </c>
      <c r="I305" t="s">
        <v>2</v>
      </c>
      <c r="J305" t="s">
        <v>911</v>
      </c>
      <c r="K305" t="s">
        <v>160</v>
      </c>
      <c r="L305" t="s">
        <v>158</v>
      </c>
      <c r="M305" t="s">
        <v>9</v>
      </c>
    </row>
    <row r="306" spans="1:13">
      <c r="A306" s="2">
        <v>13960</v>
      </c>
      <c r="B306" t="s">
        <v>3</v>
      </c>
      <c r="C306" s="1">
        <v>42828</v>
      </c>
      <c r="D306" t="s">
        <v>161</v>
      </c>
      <c r="E306" t="s">
        <v>118</v>
      </c>
      <c r="F306" t="s">
        <v>119</v>
      </c>
      <c r="G306" t="s">
        <v>0</v>
      </c>
      <c r="H306" t="s">
        <v>1</v>
      </c>
      <c r="I306" t="s">
        <v>2</v>
      </c>
      <c r="J306" t="s">
        <v>911</v>
      </c>
      <c r="K306" t="s">
        <v>162</v>
      </c>
      <c r="L306" t="s">
        <v>158</v>
      </c>
      <c r="M306" t="s">
        <v>9</v>
      </c>
    </row>
    <row r="307" spans="1:13">
      <c r="A307" s="2">
        <v>13965</v>
      </c>
      <c r="B307" t="s">
        <v>3</v>
      </c>
      <c r="C307" s="1">
        <v>42828</v>
      </c>
      <c r="D307" t="s">
        <v>163</v>
      </c>
      <c r="E307" t="s">
        <v>102</v>
      </c>
      <c r="F307" t="s">
        <v>103</v>
      </c>
      <c r="G307" t="s">
        <v>0</v>
      </c>
      <c r="H307" t="s">
        <v>1</v>
      </c>
      <c r="I307" t="s">
        <v>2</v>
      </c>
      <c r="J307" t="s">
        <v>911</v>
      </c>
      <c r="K307" t="s">
        <v>164</v>
      </c>
      <c r="L307" t="s">
        <v>165</v>
      </c>
      <c r="M307" t="s">
        <v>9</v>
      </c>
    </row>
    <row r="308" spans="1:13">
      <c r="A308" s="2">
        <v>13973</v>
      </c>
      <c r="B308" t="s">
        <v>3</v>
      </c>
      <c r="C308" s="1">
        <v>42828</v>
      </c>
      <c r="D308" t="s">
        <v>154</v>
      </c>
      <c r="E308" t="s">
        <v>102</v>
      </c>
      <c r="F308" t="s">
        <v>103</v>
      </c>
      <c r="G308" t="s">
        <v>0</v>
      </c>
      <c r="H308" t="s">
        <v>1</v>
      </c>
      <c r="I308" t="s">
        <v>2</v>
      </c>
      <c r="J308" t="s">
        <v>911</v>
      </c>
      <c r="K308" t="s">
        <v>166</v>
      </c>
      <c r="L308" t="s">
        <v>165</v>
      </c>
      <c r="M308" t="s">
        <v>9</v>
      </c>
    </row>
    <row r="309" spans="1:13">
      <c r="A309" s="2">
        <v>13974</v>
      </c>
      <c r="B309" t="s">
        <v>3</v>
      </c>
      <c r="C309" s="1">
        <v>42828</v>
      </c>
      <c r="D309" t="s">
        <v>154</v>
      </c>
      <c r="E309" t="s">
        <v>102</v>
      </c>
      <c r="F309" t="s">
        <v>103</v>
      </c>
      <c r="G309" t="s">
        <v>0</v>
      </c>
      <c r="H309" t="s">
        <v>1</v>
      </c>
      <c r="I309" t="s">
        <v>2</v>
      </c>
      <c r="J309" t="s">
        <v>911</v>
      </c>
      <c r="K309" t="s">
        <v>167</v>
      </c>
      <c r="L309" t="s">
        <v>165</v>
      </c>
      <c r="M309" t="s">
        <v>9</v>
      </c>
    </row>
    <row r="310" spans="1:13">
      <c r="A310" s="2">
        <v>13979</v>
      </c>
      <c r="B310" t="s">
        <v>3</v>
      </c>
      <c r="C310" s="1">
        <v>42828</v>
      </c>
      <c r="D310" t="s">
        <v>168</v>
      </c>
      <c r="E310" t="s">
        <v>102</v>
      </c>
      <c r="F310" t="s">
        <v>103</v>
      </c>
      <c r="G310" t="s">
        <v>0</v>
      </c>
      <c r="H310" t="s">
        <v>1</v>
      </c>
      <c r="I310" t="s">
        <v>2</v>
      </c>
      <c r="J310" t="s">
        <v>911</v>
      </c>
      <c r="K310" t="s">
        <v>169</v>
      </c>
      <c r="L310" t="s">
        <v>165</v>
      </c>
      <c r="M310" t="s">
        <v>9</v>
      </c>
    </row>
    <row r="311" spans="1:13">
      <c r="A311" s="2">
        <v>21342</v>
      </c>
      <c r="B311" t="s">
        <v>3</v>
      </c>
      <c r="C311" s="1">
        <v>42828</v>
      </c>
      <c r="D311" t="s">
        <v>210</v>
      </c>
      <c r="E311" t="s">
        <v>109</v>
      </c>
      <c r="F311" t="s">
        <v>110</v>
      </c>
      <c r="G311" t="s">
        <v>0</v>
      </c>
      <c r="H311" t="s">
        <v>1</v>
      </c>
      <c r="I311" t="s">
        <v>2</v>
      </c>
      <c r="J311" t="s">
        <v>911</v>
      </c>
      <c r="K311" t="s">
        <v>211</v>
      </c>
      <c r="L311" t="s">
        <v>158</v>
      </c>
      <c r="M311" t="s">
        <v>9</v>
      </c>
    </row>
    <row r="312" spans="1:13">
      <c r="A312" s="2">
        <v>36708</v>
      </c>
      <c r="B312" t="s">
        <v>65</v>
      </c>
      <c r="C312" s="1">
        <v>42843</v>
      </c>
      <c r="D312" t="s">
        <v>219</v>
      </c>
      <c r="E312" t="s">
        <v>109</v>
      </c>
      <c r="F312" t="s">
        <v>110</v>
      </c>
      <c r="G312" t="s">
        <v>0</v>
      </c>
      <c r="H312" t="s">
        <v>1</v>
      </c>
      <c r="I312" t="s">
        <v>2</v>
      </c>
      <c r="J312" t="s">
        <v>911</v>
      </c>
      <c r="K312" t="s">
        <v>220</v>
      </c>
      <c r="L312" t="s">
        <v>143</v>
      </c>
      <c r="M312" t="s">
        <v>9</v>
      </c>
    </row>
    <row r="313" spans="1:13">
      <c r="A313" s="2">
        <v>36709</v>
      </c>
      <c r="B313" t="s">
        <v>65</v>
      </c>
      <c r="C313" s="1">
        <v>42843</v>
      </c>
      <c r="D313" t="s">
        <v>219</v>
      </c>
      <c r="E313" t="s">
        <v>109</v>
      </c>
      <c r="F313" t="s">
        <v>110</v>
      </c>
      <c r="G313" t="s">
        <v>0</v>
      </c>
      <c r="H313" t="s">
        <v>1</v>
      </c>
      <c r="I313" t="s">
        <v>2</v>
      </c>
      <c r="J313" t="s">
        <v>911</v>
      </c>
      <c r="K313" t="s">
        <v>221</v>
      </c>
      <c r="L313" t="s">
        <v>143</v>
      </c>
      <c r="M313" t="s">
        <v>9</v>
      </c>
    </row>
    <row r="314" spans="1:13">
      <c r="A314" s="2">
        <v>40333</v>
      </c>
      <c r="B314" t="s">
        <v>65</v>
      </c>
      <c r="C314" s="1">
        <v>42843</v>
      </c>
      <c r="D314" t="s">
        <v>219</v>
      </c>
      <c r="E314" t="s">
        <v>109</v>
      </c>
      <c r="F314" t="s">
        <v>110</v>
      </c>
      <c r="G314" t="s">
        <v>0</v>
      </c>
      <c r="H314" t="s">
        <v>1</v>
      </c>
      <c r="I314" t="s">
        <v>2</v>
      </c>
      <c r="J314" t="s">
        <v>911</v>
      </c>
      <c r="K314" t="s">
        <v>224</v>
      </c>
      <c r="L314" t="s">
        <v>165</v>
      </c>
      <c r="M314" t="s">
        <v>9</v>
      </c>
    </row>
    <row r="315" spans="1:13">
      <c r="A315" s="2">
        <v>40335</v>
      </c>
      <c r="B315" t="s">
        <v>65</v>
      </c>
      <c r="C315" s="1">
        <v>42828</v>
      </c>
      <c r="D315" t="s">
        <v>225</v>
      </c>
      <c r="E315" t="s">
        <v>109</v>
      </c>
      <c r="F315" t="s">
        <v>110</v>
      </c>
      <c r="G315" t="s">
        <v>0</v>
      </c>
      <c r="H315" t="s">
        <v>1</v>
      </c>
      <c r="I315" t="s">
        <v>2</v>
      </c>
      <c r="J315" t="s">
        <v>911</v>
      </c>
      <c r="K315" t="s">
        <v>226</v>
      </c>
      <c r="L315" t="s">
        <v>165</v>
      </c>
      <c r="M315" t="s">
        <v>9</v>
      </c>
    </row>
    <row r="316" spans="1:13">
      <c r="A316" s="2">
        <v>40346</v>
      </c>
      <c r="B316" t="s">
        <v>3</v>
      </c>
      <c r="C316" s="1">
        <v>42828</v>
      </c>
      <c r="D316" t="s">
        <v>227</v>
      </c>
      <c r="E316" t="s">
        <v>102</v>
      </c>
      <c r="F316" t="s">
        <v>103</v>
      </c>
      <c r="G316" t="s">
        <v>0</v>
      </c>
      <c r="H316" t="s">
        <v>1</v>
      </c>
      <c r="I316" t="s">
        <v>2</v>
      </c>
      <c r="J316" t="s">
        <v>911</v>
      </c>
      <c r="K316" t="s">
        <v>228</v>
      </c>
      <c r="L316" t="s">
        <v>165</v>
      </c>
      <c r="M316" t="s">
        <v>9</v>
      </c>
    </row>
    <row r="317" spans="1:13">
      <c r="A317" s="2">
        <v>40360</v>
      </c>
      <c r="B317" t="s">
        <v>65</v>
      </c>
      <c r="C317" s="1">
        <v>42828</v>
      </c>
      <c r="D317" t="s">
        <v>229</v>
      </c>
      <c r="E317" t="s">
        <v>109</v>
      </c>
      <c r="F317" t="s">
        <v>110</v>
      </c>
      <c r="G317" t="s">
        <v>0</v>
      </c>
      <c r="H317" t="s">
        <v>1</v>
      </c>
      <c r="I317" t="s">
        <v>2</v>
      </c>
      <c r="J317" t="s">
        <v>911</v>
      </c>
      <c r="K317" t="s">
        <v>230</v>
      </c>
      <c r="L317" t="s">
        <v>165</v>
      </c>
      <c r="M317" t="s">
        <v>9</v>
      </c>
    </row>
    <row r="318" spans="1:13">
      <c r="A318" s="2">
        <v>40362</v>
      </c>
      <c r="B318" t="s">
        <v>65</v>
      </c>
      <c r="C318" s="1">
        <v>42843</v>
      </c>
      <c r="D318" t="s">
        <v>219</v>
      </c>
      <c r="E318" t="s">
        <v>109</v>
      </c>
      <c r="F318" t="s">
        <v>110</v>
      </c>
      <c r="G318" t="s">
        <v>0</v>
      </c>
      <c r="H318" t="s">
        <v>1</v>
      </c>
      <c r="I318" t="s">
        <v>2</v>
      </c>
      <c r="J318" t="s">
        <v>911</v>
      </c>
      <c r="K318" t="s">
        <v>231</v>
      </c>
      <c r="L318" t="s">
        <v>165</v>
      </c>
      <c r="M318" t="s">
        <v>9</v>
      </c>
    </row>
    <row r="319" spans="1:13">
      <c r="A319" s="2">
        <v>40363</v>
      </c>
      <c r="B319" t="s">
        <v>65</v>
      </c>
      <c r="C319" s="1">
        <v>42843</v>
      </c>
      <c r="D319" t="s">
        <v>219</v>
      </c>
      <c r="E319" t="s">
        <v>109</v>
      </c>
      <c r="F319" t="s">
        <v>110</v>
      </c>
      <c r="G319" t="s">
        <v>0</v>
      </c>
      <c r="H319" t="s">
        <v>1</v>
      </c>
      <c r="I319" t="s">
        <v>2</v>
      </c>
      <c r="J319" t="s">
        <v>911</v>
      </c>
      <c r="K319" t="s">
        <v>232</v>
      </c>
      <c r="L319" t="s">
        <v>165</v>
      </c>
      <c r="M319" t="s">
        <v>9</v>
      </c>
    </row>
    <row r="320" spans="1:13">
      <c r="A320" s="2">
        <v>40380</v>
      </c>
      <c r="B320" t="s">
        <v>24</v>
      </c>
      <c r="C320" s="1">
        <v>42828</v>
      </c>
      <c r="D320" t="s">
        <v>233</v>
      </c>
      <c r="E320" t="s">
        <v>109</v>
      </c>
      <c r="F320" t="s">
        <v>110</v>
      </c>
      <c r="G320" t="s">
        <v>0</v>
      </c>
      <c r="H320" t="s">
        <v>1</v>
      </c>
      <c r="I320" t="s">
        <v>2</v>
      </c>
      <c r="J320" t="s">
        <v>911</v>
      </c>
      <c r="K320" t="s">
        <v>234</v>
      </c>
      <c r="L320" t="s">
        <v>165</v>
      </c>
      <c r="M320" t="s">
        <v>9</v>
      </c>
    </row>
    <row r="321" spans="1:13">
      <c r="A321" s="2">
        <v>40387</v>
      </c>
      <c r="B321" t="s">
        <v>3</v>
      </c>
      <c r="C321" s="1">
        <v>42828</v>
      </c>
      <c r="D321" t="s">
        <v>235</v>
      </c>
      <c r="E321" t="s">
        <v>109</v>
      </c>
      <c r="F321" t="s">
        <v>110</v>
      </c>
      <c r="G321" t="s">
        <v>0</v>
      </c>
      <c r="H321" t="s">
        <v>1</v>
      </c>
      <c r="I321" t="s">
        <v>2</v>
      </c>
      <c r="J321" t="s">
        <v>911</v>
      </c>
      <c r="K321" t="s">
        <v>236</v>
      </c>
      <c r="L321" t="s">
        <v>165</v>
      </c>
      <c r="M321" t="s">
        <v>9</v>
      </c>
    </row>
    <row r="322" spans="1:13">
      <c r="A322" s="2">
        <v>40391</v>
      </c>
      <c r="B322" t="s">
        <v>65</v>
      </c>
      <c r="C322" s="1">
        <v>42843</v>
      </c>
      <c r="D322" t="s">
        <v>219</v>
      </c>
      <c r="E322" t="s">
        <v>109</v>
      </c>
      <c r="F322" t="s">
        <v>110</v>
      </c>
      <c r="G322" t="s">
        <v>0</v>
      </c>
      <c r="H322" t="s">
        <v>1</v>
      </c>
      <c r="I322" t="s">
        <v>2</v>
      </c>
      <c r="J322" t="s">
        <v>911</v>
      </c>
      <c r="K322" t="s">
        <v>237</v>
      </c>
      <c r="L322" t="s">
        <v>165</v>
      </c>
      <c r="M322" t="s">
        <v>9</v>
      </c>
    </row>
    <row r="323" spans="1:13">
      <c r="A323" s="2">
        <v>40399</v>
      </c>
      <c r="B323" t="s">
        <v>65</v>
      </c>
      <c r="C323" s="1">
        <v>42843</v>
      </c>
      <c r="D323" t="s">
        <v>219</v>
      </c>
      <c r="E323" t="s">
        <v>109</v>
      </c>
      <c r="F323" t="s">
        <v>110</v>
      </c>
      <c r="G323" t="s">
        <v>0</v>
      </c>
      <c r="H323" t="s">
        <v>1</v>
      </c>
      <c r="I323" t="s">
        <v>2</v>
      </c>
      <c r="J323" t="s">
        <v>911</v>
      </c>
      <c r="K323" t="s">
        <v>238</v>
      </c>
      <c r="L323" t="s">
        <v>165</v>
      </c>
      <c r="M323" t="s">
        <v>9</v>
      </c>
    </row>
    <row r="324" spans="1:13">
      <c r="A324" s="2">
        <v>40431</v>
      </c>
      <c r="B324" t="s">
        <v>65</v>
      </c>
      <c r="C324" s="1">
        <v>42828</v>
      </c>
      <c r="D324" t="s">
        <v>239</v>
      </c>
      <c r="E324" t="s">
        <v>109</v>
      </c>
      <c r="F324" t="s">
        <v>110</v>
      </c>
      <c r="G324" t="s">
        <v>0</v>
      </c>
      <c r="H324" t="s">
        <v>1</v>
      </c>
      <c r="I324" t="s">
        <v>2</v>
      </c>
      <c r="J324" t="s">
        <v>911</v>
      </c>
      <c r="K324" t="s">
        <v>240</v>
      </c>
      <c r="L324" t="s">
        <v>131</v>
      </c>
      <c r="M324" t="s">
        <v>9</v>
      </c>
    </row>
    <row r="325" spans="1:13">
      <c r="A325" s="2">
        <v>40435</v>
      </c>
      <c r="B325" t="s">
        <v>24</v>
      </c>
      <c r="C325" s="1">
        <v>42828</v>
      </c>
      <c r="D325" t="s">
        <v>241</v>
      </c>
      <c r="E325" t="s">
        <v>128</v>
      </c>
      <c r="F325" t="s">
        <v>129</v>
      </c>
      <c r="G325" t="s">
        <v>0</v>
      </c>
      <c r="H325" t="s">
        <v>1</v>
      </c>
      <c r="I325" t="s">
        <v>2</v>
      </c>
      <c r="J325" t="s">
        <v>911</v>
      </c>
      <c r="K325" t="s">
        <v>242</v>
      </c>
      <c r="L325" t="s">
        <v>131</v>
      </c>
      <c r="M325" t="s">
        <v>9</v>
      </c>
    </row>
    <row r="326" spans="1:13">
      <c r="A326" s="2">
        <v>40437</v>
      </c>
      <c r="B326" t="s">
        <v>65</v>
      </c>
      <c r="C326" s="1">
        <v>42828</v>
      </c>
      <c r="D326" t="s">
        <v>243</v>
      </c>
      <c r="E326" t="s">
        <v>109</v>
      </c>
      <c r="F326" t="s">
        <v>110</v>
      </c>
      <c r="G326" t="s">
        <v>0</v>
      </c>
      <c r="H326" t="s">
        <v>1</v>
      </c>
      <c r="I326" t="s">
        <v>2</v>
      </c>
      <c r="J326" t="s">
        <v>911</v>
      </c>
      <c r="K326" t="s">
        <v>244</v>
      </c>
      <c r="L326" t="s">
        <v>131</v>
      </c>
      <c r="M326" t="s">
        <v>9</v>
      </c>
    </row>
    <row r="327" spans="1:13">
      <c r="A327" s="2">
        <v>40439</v>
      </c>
      <c r="B327" t="s">
        <v>86</v>
      </c>
      <c r="C327" s="1">
        <v>42828</v>
      </c>
      <c r="D327" t="s">
        <v>245</v>
      </c>
      <c r="E327" t="s">
        <v>128</v>
      </c>
      <c r="F327" t="s">
        <v>129</v>
      </c>
      <c r="G327" t="s">
        <v>0</v>
      </c>
      <c r="H327" t="s">
        <v>1</v>
      </c>
      <c r="I327" t="s">
        <v>2</v>
      </c>
      <c r="J327" t="s">
        <v>911</v>
      </c>
      <c r="K327" t="s">
        <v>246</v>
      </c>
      <c r="L327" t="s">
        <v>131</v>
      </c>
      <c r="M327" t="s">
        <v>9</v>
      </c>
    </row>
    <row r="328" spans="1:13">
      <c r="A328" s="2">
        <v>40440</v>
      </c>
      <c r="B328" t="s">
        <v>65</v>
      </c>
      <c r="C328" s="1">
        <v>42843</v>
      </c>
      <c r="D328" t="s">
        <v>219</v>
      </c>
      <c r="E328" t="s">
        <v>109</v>
      </c>
      <c r="F328" t="s">
        <v>110</v>
      </c>
      <c r="G328" t="s">
        <v>0</v>
      </c>
      <c r="H328" t="s">
        <v>1</v>
      </c>
      <c r="I328" t="s">
        <v>2</v>
      </c>
      <c r="J328" t="s">
        <v>911</v>
      </c>
      <c r="K328" t="s">
        <v>247</v>
      </c>
      <c r="L328" t="s">
        <v>131</v>
      </c>
      <c r="M328" t="s">
        <v>9</v>
      </c>
    </row>
    <row r="329" spans="1:13">
      <c r="A329" s="2">
        <v>40441</v>
      </c>
      <c r="B329" t="s">
        <v>65</v>
      </c>
      <c r="C329" s="1">
        <v>42843</v>
      </c>
      <c r="D329" t="s">
        <v>219</v>
      </c>
      <c r="E329" t="s">
        <v>109</v>
      </c>
      <c r="F329" t="s">
        <v>110</v>
      </c>
      <c r="G329" t="s">
        <v>0</v>
      </c>
      <c r="H329" t="s">
        <v>1</v>
      </c>
      <c r="I329" t="s">
        <v>2</v>
      </c>
      <c r="J329" t="s">
        <v>911</v>
      </c>
      <c r="K329" t="s">
        <v>248</v>
      </c>
      <c r="L329" t="s">
        <v>131</v>
      </c>
      <c r="M329" t="s">
        <v>9</v>
      </c>
    </row>
    <row r="330" spans="1:13">
      <c r="A330" s="2">
        <v>40442</v>
      </c>
      <c r="B330" t="s">
        <v>65</v>
      </c>
      <c r="C330" s="1">
        <v>42843</v>
      </c>
      <c r="D330" t="s">
        <v>219</v>
      </c>
      <c r="E330" t="s">
        <v>109</v>
      </c>
      <c r="F330" t="s">
        <v>110</v>
      </c>
      <c r="G330" t="s">
        <v>0</v>
      </c>
      <c r="H330" t="s">
        <v>1</v>
      </c>
      <c r="I330" t="s">
        <v>2</v>
      </c>
      <c r="J330" t="s">
        <v>911</v>
      </c>
      <c r="K330" t="s">
        <v>249</v>
      </c>
      <c r="L330" t="s">
        <v>131</v>
      </c>
      <c r="M330" t="s">
        <v>9</v>
      </c>
    </row>
    <row r="331" spans="1:13">
      <c r="A331" s="2">
        <v>40446</v>
      </c>
      <c r="B331" t="s">
        <v>65</v>
      </c>
      <c r="C331" s="1">
        <v>42843</v>
      </c>
      <c r="D331" t="s">
        <v>219</v>
      </c>
      <c r="E331" t="s">
        <v>109</v>
      </c>
      <c r="F331" t="s">
        <v>110</v>
      </c>
      <c r="G331" t="s">
        <v>0</v>
      </c>
      <c r="H331" t="s">
        <v>1</v>
      </c>
      <c r="I331" t="s">
        <v>2</v>
      </c>
      <c r="J331" t="s">
        <v>911</v>
      </c>
      <c r="K331" t="s">
        <v>250</v>
      </c>
      <c r="L331" t="s">
        <v>131</v>
      </c>
      <c r="M331" t="s">
        <v>9</v>
      </c>
    </row>
    <row r="332" spans="1:13">
      <c r="A332" s="2">
        <v>40448</v>
      </c>
      <c r="B332" t="s">
        <v>65</v>
      </c>
      <c r="C332" s="1">
        <v>42843</v>
      </c>
      <c r="D332" t="s">
        <v>219</v>
      </c>
      <c r="E332" t="s">
        <v>109</v>
      </c>
      <c r="F332" t="s">
        <v>110</v>
      </c>
      <c r="G332" t="s">
        <v>0</v>
      </c>
      <c r="H332" t="s">
        <v>1</v>
      </c>
      <c r="I332" t="s">
        <v>2</v>
      </c>
      <c r="J332" t="s">
        <v>911</v>
      </c>
      <c r="K332" t="s">
        <v>251</v>
      </c>
      <c r="L332" t="s">
        <v>131</v>
      </c>
      <c r="M332" t="s">
        <v>9</v>
      </c>
    </row>
    <row r="333" spans="1:13">
      <c r="A333" s="2">
        <v>40452</v>
      </c>
      <c r="B333" t="s">
        <v>3</v>
      </c>
      <c r="C333" s="1">
        <v>42828</v>
      </c>
      <c r="D333" t="s">
        <v>252</v>
      </c>
      <c r="E333" t="s">
        <v>118</v>
      </c>
      <c r="F333" t="s">
        <v>119</v>
      </c>
      <c r="G333" t="s">
        <v>0</v>
      </c>
      <c r="H333" t="s">
        <v>1</v>
      </c>
      <c r="I333" t="s">
        <v>2</v>
      </c>
      <c r="J333" t="s">
        <v>911</v>
      </c>
      <c r="K333" t="s">
        <v>253</v>
      </c>
      <c r="L333" t="s">
        <v>116</v>
      </c>
      <c r="M333" t="s">
        <v>9</v>
      </c>
    </row>
    <row r="334" spans="1:13">
      <c r="A334" s="2">
        <v>40454</v>
      </c>
      <c r="B334" t="s">
        <v>3</v>
      </c>
      <c r="C334" s="1">
        <v>42828</v>
      </c>
      <c r="D334" t="s">
        <v>254</v>
      </c>
      <c r="E334" t="s">
        <v>118</v>
      </c>
      <c r="F334" t="s">
        <v>119</v>
      </c>
      <c r="G334" t="s">
        <v>0</v>
      </c>
      <c r="H334" t="s">
        <v>1</v>
      </c>
      <c r="I334" t="s">
        <v>2</v>
      </c>
      <c r="J334" t="s">
        <v>911</v>
      </c>
      <c r="K334" t="s">
        <v>255</v>
      </c>
      <c r="L334" t="s">
        <v>116</v>
      </c>
      <c r="M334" t="s">
        <v>9</v>
      </c>
    </row>
    <row r="335" spans="1:13">
      <c r="A335" s="2">
        <v>40484</v>
      </c>
      <c r="B335" t="s">
        <v>24</v>
      </c>
      <c r="C335" s="1">
        <v>42828</v>
      </c>
      <c r="D335" t="s">
        <v>256</v>
      </c>
      <c r="E335" t="s">
        <v>118</v>
      </c>
      <c r="F335" t="s">
        <v>119</v>
      </c>
      <c r="G335" t="s">
        <v>0</v>
      </c>
      <c r="H335" t="s">
        <v>1</v>
      </c>
      <c r="I335" t="s">
        <v>2</v>
      </c>
      <c r="J335" t="s">
        <v>911</v>
      </c>
      <c r="K335" t="s">
        <v>257</v>
      </c>
      <c r="L335" t="s">
        <v>143</v>
      </c>
      <c r="M335" t="s">
        <v>9</v>
      </c>
    </row>
    <row r="336" spans="1:13">
      <c r="A336" s="2">
        <v>40504</v>
      </c>
      <c r="B336" t="s">
        <v>86</v>
      </c>
      <c r="C336" s="1">
        <v>42828</v>
      </c>
      <c r="D336" t="s">
        <v>258</v>
      </c>
      <c r="E336" t="s">
        <v>109</v>
      </c>
      <c r="F336" t="s">
        <v>110</v>
      </c>
      <c r="G336" t="s">
        <v>0</v>
      </c>
      <c r="H336" t="s">
        <v>1</v>
      </c>
      <c r="I336" t="s">
        <v>2</v>
      </c>
      <c r="J336" t="s">
        <v>911</v>
      </c>
      <c r="K336" t="s">
        <v>259</v>
      </c>
      <c r="L336" t="s">
        <v>143</v>
      </c>
      <c r="M336" t="s">
        <v>9</v>
      </c>
    </row>
    <row r="337" spans="1:13">
      <c r="A337" s="2">
        <v>40511</v>
      </c>
      <c r="B337" t="s">
        <v>212</v>
      </c>
      <c r="C337" s="1">
        <v>42843</v>
      </c>
      <c r="D337" t="s">
        <v>260</v>
      </c>
      <c r="E337" t="s">
        <v>109</v>
      </c>
      <c r="F337" t="s">
        <v>110</v>
      </c>
      <c r="G337" t="s">
        <v>0</v>
      </c>
      <c r="H337" t="s">
        <v>1</v>
      </c>
      <c r="I337" t="s">
        <v>2</v>
      </c>
      <c r="J337" t="s">
        <v>911</v>
      </c>
      <c r="K337" t="s">
        <v>261</v>
      </c>
      <c r="L337" t="s">
        <v>143</v>
      </c>
      <c r="M337" t="s">
        <v>9</v>
      </c>
    </row>
    <row r="338" spans="1:13">
      <c r="A338" s="2">
        <v>40513</v>
      </c>
      <c r="B338" t="s">
        <v>3</v>
      </c>
      <c r="C338" s="1">
        <v>42828</v>
      </c>
      <c r="D338" t="s">
        <v>262</v>
      </c>
      <c r="E338" t="s">
        <v>118</v>
      </c>
      <c r="F338" t="s">
        <v>119</v>
      </c>
      <c r="G338" t="s">
        <v>0</v>
      </c>
      <c r="H338" t="s">
        <v>1</v>
      </c>
      <c r="I338" t="s">
        <v>2</v>
      </c>
      <c r="J338" t="s">
        <v>911</v>
      </c>
      <c r="K338" t="s">
        <v>263</v>
      </c>
      <c r="L338" t="s">
        <v>143</v>
      </c>
      <c r="M338" t="s">
        <v>9</v>
      </c>
    </row>
    <row r="339" spans="1:13">
      <c r="A339" s="2">
        <v>40516</v>
      </c>
      <c r="B339" t="s">
        <v>65</v>
      </c>
      <c r="C339" s="1">
        <v>42828</v>
      </c>
      <c r="D339" t="s">
        <v>264</v>
      </c>
      <c r="E339" t="s">
        <v>109</v>
      </c>
      <c r="F339" t="s">
        <v>110</v>
      </c>
      <c r="G339" t="s">
        <v>0</v>
      </c>
      <c r="H339" t="s">
        <v>1</v>
      </c>
      <c r="I339" t="s">
        <v>2</v>
      </c>
      <c r="J339" t="s">
        <v>911</v>
      </c>
      <c r="K339" t="s">
        <v>265</v>
      </c>
      <c r="L339" t="s">
        <v>143</v>
      </c>
      <c r="M339" t="s">
        <v>9</v>
      </c>
    </row>
    <row r="340" spans="1:13">
      <c r="A340" s="2">
        <v>40520</v>
      </c>
      <c r="B340" t="s">
        <v>3</v>
      </c>
      <c r="C340" s="1">
        <v>42828</v>
      </c>
      <c r="D340" t="s">
        <v>266</v>
      </c>
      <c r="E340" t="s">
        <v>109</v>
      </c>
      <c r="F340" t="s">
        <v>110</v>
      </c>
      <c r="G340" t="s">
        <v>0</v>
      </c>
      <c r="H340" t="s">
        <v>1</v>
      </c>
      <c r="I340" t="s">
        <v>2</v>
      </c>
      <c r="J340" t="s">
        <v>911</v>
      </c>
      <c r="K340" t="s">
        <v>267</v>
      </c>
      <c r="L340" t="s">
        <v>143</v>
      </c>
      <c r="M340" t="s">
        <v>9</v>
      </c>
    </row>
    <row r="341" spans="1:13">
      <c r="A341" s="2">
        <v>40522</v>
      </c>
      <c r="B341" t="s">
        <v>3</v>
      </c>
      <c r="C341" s="1">
        <v>42828</v>
      </c>
      <c r="D341" t="s">
        <v>268</v>
      </c>
      <c r="E341" t="s">
        <v>118</v>
      </c>
      <c r="F341" t="s">
        <v>119</v>
      </c>
      <c r="G341" t="s">
        <v>0</v>
      </c>
      <c r="H341" t="s">
        <v>1</v>
      </c>
      <c r="I341" t="s">
        <v>2</v>
      </c>
      <c r="J341" t="s">
        <v>911</v>
      </c>
      <c r="K341" t="s">
        <v>269</v>
      </c>
      <c r="L341" t="s">
        <v>143</v>
      </c>
      <c r="M341" t="s">
        <v>9</v>
      </c>
    </row>
    <row r="342" spans="1:13">
      <c r="A342" s="2">
        <v>40530</v>
      </c>
      <c r="B342" t="s">
        <v>65</v>
      </c>
      <c r="C342" s="1">
        <v>42828</v>
      </c>
      <c r="D342" t="s">
        <v>270</v>
      </c>
      <c r="E342" t="s">
        <v>109</v>
      </c>
      <c r="F342" t="s">
        <v>110</v>
      </c>
      <c r="G342" t="s">
        <v>0</v>
      </c>
      <c r="H342" t="s">
        <v>1</v>
      </c>
      <c r="I342" t="s">
        <v>2</v>
      </c>
      <c r="J342" t="s">
        <v>911</v>
      </c>
      <c r="K342" t="s">
        <v>271</v>
      </c>
      <c r="L342" t="s">
        <v>143</v>
      </c>
      <c r="M342" t="s">
        <v>9</v>
      </c>
    </row>
    <row r="343" spans="1:13">
      <c r="A343" s="2">
        <v>40536</v>
      </c>
      <c r="B343" t="s">
        <v>65</v>
      </c>
      <c r="C343" s="1">
        <v>42828</v>
      </c>
      <c r="D343" t="s">
        <v>272</v>
      </c>
      <c r="E343" t="s">
        <v>109</v>
      </c>
      <c r="F343" t="s">
        <v>110</v>
      </c>
      <c r="G343" t="s">
        <v>0</v>
      </c>
      <c r="H343" t="s">
        <v>1</v>
      </c>
      <c r="I343" t="s">
        <v>2</v>
      </c>
      <c r="J343" t="s">
        <v>911</v>
      </c>
      <c r="K343" t="s">
        <v>273</v>
      </c>
      <c r="L343" t="s">
        <v>143</v>
      </c>
      <c r="M343" t="s">
        <v>9</v>
      </c>
    </row>
    <row r="344" spans="1:13">
      <c r="A344" s="2">
        <v>40541</v>
      </c>
      <c r="B344" t="s">
        <v>65</v>
      </c>
      <c r="C344" s="1">
        <v>42843</v>
      </c>
      <c r="D344" t="s">
        <v>219</v>
      </c>
      <c r="E344" t="s">
        <v>109</v>
      </c>
      <c r="F344" t="s">
        <v>110</v>
      </c>
      <c r="G344" t="s">
        <v>0</v>
      </c>
      <c r="H344" t="s">
        <v>1</v>
      </c>
      <c r="I344" t="s">
        <v>2</v>
      </c>
      <c r="J344" t="s">
        <v>911</v>
      </c>
      <c r="K344" t="s">
        <v>274</v>
      </c>
      <c r="L344" t="s">
        <v>143</v>
      </c>
      <c r="M344" t="s">
        <v>9</v>
      </c>
    </row>
    <row r="345" spans="1:13">
      <c r="A345" s="2">
        <v>40562</v>
      </c>
      <c r="B345" t="s">
        <v>3</v>
      </c>
      <c r="C345" s="1">
        <v>42828</v>
      </c>
      <c r="D345" t="s">
        <v>275</v>
      </c>
      <c r="E345" t="s">
        <v>118</v>
      </c>
      <c r="F345" t="s">
        <v>119</v>
      </c>
      <c r="G345" t="s">
        <v>0</v>
      </c>
      <c r="H345" t="s">
        <v>1</v>
      </c>
      <c r="I345" t="s">
        <v>2</v>
      </c>
      <c r="J345" t="s">
        <v>911</v>
      </c>
      <c r="K345" t="s">
        <v>276</v>
      </c>
      <c r="L345" t="s">
        <v>143</v>
      </c>
      <c r="M345" t="s">
        <v>9</v>
      </c>
    </row>
    <row r="346" spans="1:13">
      <c r="A346" s="2">
        <v>40567</v>
      </c>
      <c r="B346" t="s">
        <v>3</v>
      </c>
      <c r="C346" s="1">
        <v>42828</v>
      </c>
      <c r="D346" t="s">
        <v>277</v>
      </c>
      <c r="E346" t="s">
        <v>109</v>
      </c>
      <c r="F346" t="s">
        <v>110</v>
      </c>
      <c r="G346" t="s">
        <v>0</v>
      </c>
      <c r="H346" t="s">
        <v>1</v>
      </c>
      <c r="I346" t="s">
        <v>2</v>
      </c>
      <c r="J346" t="s">
        <v>911</v>
      </c>
      <c r="K346" t="s">
        <v>278</v>
      </c>
      <c r="L346" t="s">
        <v>143</v>
      </c>
      <c r="M346" t="s">
        <v>9</v>
      </c>
    </row>
    <row r="347" spans="1:13">
      <c r="A347" s="2">
        <v>40570</v>
      </c>
      <c r="B347" t="s">
        <v>65</v>
      </c>
      <c r="C347" s="1">
        <v>42828</v>
      </c>
      <c r="D347" t="s">
        <v>279</v>
      </c>
      <c r="E347" t="s">
        <v>109</v>
      </c>
      <c r="F347" t="s">
        <v>110</v>
      </c>
      <c r="G347" t="s">
        <v>0</v>
      </c>
      <c r="H347" t="s">
        <v>1</v>
      </c>
      <c r="I347" t="s">
        <v>2</v>
      </c>
      <c r="J347" t="s">
        <v>911</v>
      </c>
      <c r="K347" t="s">
        <v>280</v>
      </c>
      <c r="L347" t="s">
        <v>143</v>
      </c>
      <c r="M347" t="s">
        <v>9</v>
      </c>
    </row>
    <row r="348" spans="1:13">
      <c r="A348" s="2">
        <v>40583</v>
      </c>
      <c r="B348" t="s">
        <v>212</v>
      </c>
      <c r="C348" s="1">
        <v>42828</v>
      </c>
      <c r="D348" t="s">
        <v>281</v>
      </c>
      <c r="E348" t="s">
        <v>109</v>
      </c>
      <c r="F348" t="s">
        <v>110</v>
      </c>
      <c r="G348" t="s">
        <v>0</v>
      </c>
      <c r="H348" t="s">
        <v>1</v>
      </c>
      <c r="I348" t="s">
        <v>2</v>
      </c>
      <c r="J348" t="s">
        <v>911</v>
      </c>
      <c r="K348" t="s">
        <v>282</v>
      </c>
      <c r="L348" t="s">
        <v>158</v>
      </c>
      <c r="M348" t="s">
        <v>9</v>
      </c>
    </row>
    <row r="349" spans="1:13">
      <c r="A349" s="2">
        <v>40585</v>
      </c>
      <c r="B349" t="s">
        <v>65</v>
      </c>
      <c r="C349" s="1">
        <v>42828</v>
      </c>
      <c r="D349" t="s">
        <v>283</v>
      </c>
      <c r="E349" t="s">
        <v>109</v>
      </c>
      <c r="F349" t="s">
        <v>110</v>
      </c>
      <c r="G349" t="s">
        <v>0</v>
      </c>
      <c r="H349" t="s">
        <v>1</v>
      </c>
      <c r="I349" t="s">
        <v>2</v>
      </c>
      <c r="J349" t="s">
        <v>911</v>
      </c>
      <c r="K349" t="s">
        <v>284</v>
      </c>
      <c r="L349" t="s">
        <v>158</v>
      </c>
      <c r="M349" t="s">
        <v>9</v>
      </c>
    </row>
    <row r="350" spans="1:13">
      <c r="A350" s="2">
        <v>40588</v>
      </c>
      <c r="B350" t="s">
        <v>65</v>
      </c>
      <c r="C350" s="1">
        <v>42828</v>
      </c>
      <c r="D350" t="s">
        <v>285</v>
      </c>
      <c r="E350" t="s">
        <v>109</v>
      </c>
      <c r="F350" t="s">
        <v>110</v>
      </c>
      <c r="G350" t="s">
        <v>0</v>
      </c>
      <c r="H350" t="s">
        <v>1</v>
      </c>
      <c r="I350" t="s">
        <v>2</v>
      </c>
      <c r="J350" t="s">
        <v>911</v>
      </c>
      <c r="K350" t="s">
        <v>286</v>
      </c>
      <c r="L350" t="s">
        <v>158</v>
      </c>
      <c r="M350" t="s">
        <v>9</v>
      </c>
    </row>
    <row r="351" spans="1:13">
      <c r="A351" s="2">
        <v>40599</v>
      </c>
      <c r="B351" t="s">
        <v>3</v>
      </c>
      <c r="C351" s="1">
        <v>42828</v>
      </c>
      <c r="D351" t="s">
        <v>210</v>
      </c>
      <c r="E351" t="s">
        <v>109</v>
      </c>
      <c r="F351" t="s">
        <v>110</v>
      </c>
      <c r="G351" t="s">
        <v>0</v>
      </c>
      <c r="H351" t="s">
        <v>1</v>
      </c>
      <c r="I351" t="s">
        <v>2</v>
      </c>
      <c r="J351" t="s">
        <v>911</v>
      </c>
      <c r="K351" t="s">
        <v>287</v>
      </c>
      <c r="L351" t="s">
        <v>158</v>
      </c>
      <c r="M351" t="s">
        <v>9</v>
      </c>
    </row>
    <row r="352" spans="1:13">
      <c r="A352" s="2">
        <v>40600</v>
      </c>
      <c r="B352" t="s">
        <v>24</v>
      </c>
      <c r="C352" s="1">
        <v>42828</v>
      </c>
      <c r="D352" t="s">
        <v>288</v>
      </c>
      <c r="E352" t="s">
        <v>109</v>
      </c>
      <c r="F352" t="s">
        <v>110</v>
      </c>
      <c r="G352" t="s">
        <v>0</v>
      </c>
      <c r="H352" t="s">
        <v>1</v>
      </c>
      <c r="I352" t="s">
        <v>2</v>
      </c>
      <c r="J352" t="s">
        <v>911</v>
      </c>
      <c r="K352" t="s">
        <v>289</v>
      </c>
      <c r="L352" t="s">
        <v>158</v>
      </c>
      <c r="M352" t="s">
        <v>9</v>
      </c>
    </row>
    <row r="353" spans="1:13">
      <c r="A353" s="2">
        <v>40601</v>
      </c>
      <c r="B353" t="s">
        <v>3</v>
      </c>
      <c r="C353" s="1">
        <v>42828</v>
      </c>
      <c r="D353" t="s">
        <v>290</v>
      </c>
      <c r="E353" t="s">
        <v>109</v>
      </c>
      <c r="F353" t="s">
        <v>110</v>
      </c>
      <c r="G353" t="s">
        <v>0</v>
      </c>
      <c r="H353" t="s">
        <v>1</v>
      </c>
      <c r="I353" t="s">
        <v>2</v>
      </c>
      <c r="J353" t="s">
        <v>911</v>
      </c>
      <c r="K353" t="s">
        <v>291</v>
      </c>
      <c r="L353" t="s">
        <v>158</v>
      </c>
      <c r="M353" t="s">
        <v>9</v>
      </c>
    </row>
    <row r="354" spans="1:13">
      <c r="A354" s="2">
        <v>40607</v>
      </c>
      <c r="B354" t="s">
        <v>24</v>
      </c>
      <c r="C354" s="1">
        <v>42828</v>
      </c>
      <c r="D354" t="s">
        <v>292</v>
      </c>
      <c r="E354" t="s">
        <v>109</v>
      </c>
      <c r="F354" t="s">
        <v>110</v>
      </c>
      <c r="G354" t="s">
        <v>0</v>
      </c>
      <c r="H354" t="s">
        <v>1</v>
      </c>
      <c r="I354" t="s">
        <v>2</v>
      </c>
      <c r="J354" t="s">
        <v>911</v>
      </c>
      <c r="K354" t="s">
        <v>293</v>
      </c>
      <c r="L354" t="s">
        <v>158</v>
      </c>
      <c r="M354" t="s">
        <v>9</v>
      </c>
    </row>
    <row r="355" spans="1:13">
      <c r="A355" s="2">
        <v>40609</v>
      </c>
      <c r="B355" t="s">
        <v>212</v>
      </c>
      <c r="C355" s="1">
        <v>42843</v>
      </c>
      <c r="D355" t="s">
        <v>260</v>
      </c>
      <c r="E355" t="s">
        <v>109</v>
      </c>
      <c r="F355" t="s">
        <v>110</v>
      </c>
      <c r="G355" t="s">
        <v>0</v>
      </c>
      <c r="H355" t="s">
        <v>1</v>
      </c>
      <c r="I355" t="s">
        <v>2</v>
      </c>
      <c r="J355" t="s">
        <v>911</v>
      </c>
      <c r="K355" t="s">
        <v>294</v>
      </c>
      <c r="L355" t="s">
        <v>158</v>
      </c>
      <c r="M355" t="s">
        <v>9</v>
      </c>
    </row>
    <row r="356" spans="1:13">
      <c r="A356" s="2">
        <v>40611</v>
      </c>
      <c r="B356" t="s">
        <v>65</v>
      </c>
      <c r="C356" s="1">
        <v>42843</v>
      </c>
      <c r="D356" t="s">
        <v>219</v>
      </c>
      <c r="E356" t="s">
        <v>109</v>
      </c>
      <c r="F356" t="s">
        <v>110</v>
      </c>
      <c r="G356" t="s">
        <v>0</v>
      </c>
      <c r="H356" t="s">
        <v>1</v>
      </c>
      <c r="I356" t="s">
        <v>2</v>
      </c>
      <c r="J356" t="s">
        <v>911</v>
      </c>
      <c r="K356" t="s">
        <v>295</v>
      </c>
      <c r="L356" t="s">
        <v>158</v>
      </c>
      <c r="M356" t="s">
        <v>9</v>
      </c>
    </row>
    <row r="357" spans="1:13">
      <c r="A357" s="2">
        <v>40612</v>
      </c>
      <c r="B357" t="s">
        <v>86</v>
      </c>
      <c r="C357" s="1">
        <v>42828</v>
      </c>
      <c r="D357" t="s">
        <v>296</v>
      </c>
      <c r="E357" t="s">
        <v>109</v>
      </c>
      <c r="F357" t="s">
        <v>110</v>
      </c>
      <c r="G357" t="s">
        <v>0</v>
      </c>
      <c r="H357" t="s">
        <v>1</v>
      </c>
      <c r="I357" t="s">
        <v>2</v>
      </c>
      <c r="J357" t="s">
        <v>911</v>
      </c>
      <c r="K357" t="s">
        <v>297</v>
      </c>
      <c r="L357" t="s">
        <v>158</v>
      </c>
      <c r="M357" t="s">
        <v>9</v>
      </c>
    </row>
    <row r="358" spans="1:13">
      <c r="A358" s="2">
        <v>40613</v>
      </c>
      <c r="B358" t="s">
        <v>24</v>
      </c>
      <c r="C358" s="1">
        <v>42828</v>
      </c>
      <c r="D358" t="s">
        <v>298</v>
      </c>
      <c r="E358" t="s">
        <v>109</v>
      </c>
      <c r="F358" t="s">
        <v>110</v>
      </c>
      <c r="G358" t="s">
        <v>0</v>
      </c>
      <c r="H358" t="s">
        <v>1</v>
      </c>
      <c r="I358" t="s">
        <v>2</v>
      </c>
      <c r="J358" t="s">
        <v>911</v>
      </c>
      <c r="K358" t="s">
        <v>299</v>
      </c>
      <c r="L358" t="s">
        <v>158</v>
      </c>
      <c r="M358" t="s">
        <v>9</v>
      </c>
    </row>
    <row r="359" spans="1:13">
      <c r="A359" s="2">
        <v>40614</v>
      </c>
      <c r="B359" t="s">
        <v>86</v>
      </c>
      <c r="C359" s="1">
        <v>42828</v>
      </c>
      <c r="D359" t="s">
        <v>300</v>
      </c>
      <c r="E359" t="s">
        <v>109</v>
      </c>
      <c r="F359" t="s">
        <v>110</v>
      </c>
      <c r="G359" t="s">
        <v>0</v>
      </c>
      <c r="H359" t="s">
        <v>1</v>
      </c>
      <c r="I359" t="s">
        <v>2</v>
      </c>
      <c r="J359" t="s">
        <v>911</v>
      </c>
      <c r="K359" t="s">
        <v>301</v>
      </c>
      <c r="L359" t="s">
        <v>158</v>
      </c>
      <c r="M359" t="s">
        <v>9</v>
      </c>
    </row>
    <row r="360" spans="1:13">
      <c r="A360" s="2">
        <v>40620</v>
      </c>
      <c r="B360" t="s">
        <v>65</v>
      </c>
      <c r="C360" s="1">
        <v>42843</v>
      </c>
      <c r="D360" t="s">
        <v>219</v>
      </c>
      <c r="E360" t="s">
        <v>109</v>
      </c>
      <c r="F360" t="s">
        <v>110</v>
      </c>
      <c r="G360" t="s">
        <v>0</v>
      </c>
      <c r="H360" t="s">
        <v>1</v>
      </c>
      <c r="I360" t="s">
        <v>2</v>
      </c>
      <c r="J360" t="s">
        <v>911</v>
      </c>
      <c r="K360" t="s">
        <v>302</v>
      </c>
      <c r="L360" t="s">
        <v>158</v>
      </c>
      <c r="M360" t="s">
        <v>9</v>
      </c>
    </row>
    <row r="361" spans="1:13">
      <c r="A361" s="2">
        <v>40621</v>
      </c>
      <c r="B361" t="s">
        <v>65</v>
      </c>
      <c r="C361" s="1">
        <v>42843</v>
      </c>
      <c r="D361" t="s">
        <v>219</v>
      </c>
      <c r="E361" t="s">
        <v>109</v>
      </c>
      <c r="F361" t="s">
        <v>110</v>
      </c>
      <c r="G361" t="s">
        <v>0</v>
      </c>
      <c r="H361" t="s">
        <v>1</v>
      </c>
      <c r="I361" t="s">
        <v>2</v>
      </c>
      <c r="J361" t="s">
        <v>911</v>
      </c>
      <c r="K361" t="s">
        <v>303</v>
      </c>
      <c r="L361" t="s">
        <v>158</v>
      </c>
      <c r="M361" t="s">
        <v>9</v>
      </c>
    </row>
    <row r="362" spans="1:13">
      <c r="A362" s="2">
        <v>40626</v>
      </c>
      <c r="B362" t="s">
        <v>65</v>
      </c>
      <c r="C362" s="1">
        <v>42843</v>
      </c>
      <c r="D362" t="s">
        <v>219</v>
      </c>
      <c r="E362" t="s">
        <v>109</v>
      </c>
      <c r="F362" t="s">
        <v>110</v>
      </c>
      <c r="G362" t="s">
        <v>0</v>
      </c>
      <c r="H362" t="s">
        <v>1</v>
      </c>
      <c r="I362" t="s">
        <v>2</v>
      </c>
      <c r="J362" t="s">
        <v>911</v>
      </c>
      <c r="K362" t="s">
        <v>304</v>
      </c>
      <c r="L362" t="s">
        <v>158</v>
      </c>
      <c r="M362" t="s">
        <v>9</v>
      </c>
    </row>
    <row r="363" spans="1:13">
      <c r="A363" s="2">
        <v>40627</v>
      </c>
      <c r="B363" t="s">
        <v>65</v>
      </c>
      <c r="C363" s="1">
        <v>42843</v>
      </c>
      <c r="D363" t="s">
        <v>219</v>
      </c>
      <c r="E363" t="s">
        <v>109</v>
      </c>
      <c r="F363" t="s">
        <v>110</v>
      </c>
      <c r="G363" t="s">
        <v>0</v>
      </c>
      <c r="H363" t="s">
        <v>1</v>
      </c>
      <c r="I363" t="s">
        <v>2</v>
      </c>
      <c r="J363" t="s">
        <v>911</v>
      </c>
      <c r="K363" t="s">
        <v>305</v>
      </c>
      <c r="L363" t="s">
        <v>158</v>
      </c>
      <c r="M363" t="s">
        <v>9</v>
      </c>
    </row>
    <row r="364" spans="1:13">
      <c r="A364" s="2">
        <v>40628</v>
      </c>
      <c r="B364" t="s">
        <v>65</v>
      </c>
      <c r="C364" s="1">
        <v>42843</v>
      </c>
      <c r="D364" t="s">
        <v>219</v>
      </c>
      <c r="E364" t="s">
        <v>109</v>
      </c>
      <c r="F364" t="s">
        <v>110</v>
      </c>
      <c r="G364" t="s">
        <v>0</v>
      </c>
      <c r="H364" t="s">
        <v>1</v>
      </c>
      <c r="I364" t="s">
        <v>2</v>
      </c>
      <c r="J364" t="s">
        <v>911</v>
      </c>
      <c r="K364" t="s">
        <v>306</v>
      </c>
      <c r="L364" t="s">
        <v>158</v>
      </c>
      <c r="M364" t="s">
        <v>9</v>
      </c>
    </row>
    <row r="365" spans="1:13">
      <c r="A365" s="2">
        <v>40634</v>
      </c>
      <c r="B365" t="s">
        <v>86</v>
      </c>
      <c r="C365" s="1">
        <v>42828</v>
      </c>
      <c r="D365" t="s">
        <v>307</v>
      </c>
      <c r="E365" t="s">
        <v>109</v>
      </c>
      <c r="F365" t="s">
        <v>110</v>
      </c>
      <c r="G365" t="s">
        <v>0</v>
      </c>
      <c r="H365" t="s">
        <v>1</v>
      </c>
      <c r="I365" t="s">
        <v>2</v>
      </c>
      <c r="J365" t="s">
        <v>911</v>
      </c>
      <c r="K365" t="s">
        <v>308</v>
      </c>
      <c r="L365" t="s">
        <v>93</v>
      </c>
      <c r="M365" t="s">
        <v>9</v>
      </c>
    </row>
    <row r="366" spans="1:13">
      <c r="A366" s="2">
        <v>40635</v>
      </c>
      <c r="B366" t="s">
        <v>65</v>
      </c>
      <c r="C366" s="1">
        <v>42828</v>
      </c>
      <c r="D366" t="s">
        <v>309</v>
      </c>
      <c r="E366" t="s">
        <v>109</v>
      </c>
      <c r="F366" t="s">
        <v>110</v>
      </c>
      <c r="G366" t="s">
        <v>0</v>
      </c>
      <c r="H366" t="s">
        <v>1</v>
      </c>
      <c r="I366" t="s">
        <v>2</v>
      </c>
      <c r="J366" t="s">
        <v>911</v>
      </c>
      <c r="K366" t="s">
        <v>310</v>
      </c>
      <c r="L366" t="s">
        <v>93</v>
      </c>
      <c r="M366" t="s">
        <v>9</v>
      </c>
    </row>
    <row r="367" spans="1:13">
      <c r="A367" s="2">
        <v>40640</v>
      </c>
      <c r="B367" t="s">
        <v>65</v>
      </c>
      <c r="C367" s="1">
        <v>42828</v>
      </c>
      <c r="D367" t="s">
        <v>311</v>
      </c>
      <c r="E367" t="s">
        <v>109</v>
      </c>
      <c r="F367" t="s">
        <v>110</v>
      </c>
      <c r="G367" t="s">
        <v>0</v>
      </c>
      <c r="H367" t="s">
        <v>1</v>
      </c>
      <c r="I367" t="s">
        <v>2</v>
      </c>
      <c r="J367" t="s">
        <v>911</v>
      </c>
      <c r="K367" t="s">
        <v>312</v>
      </c>
      <c r="L367" t="s">
        <v>140</v>
      </c>
      <c r="M367" t="s">
        <v>9</v>
      </c>
    </row>
    <row r="368" spans="1:13">
      <c r="A368" s="2">
        <v>40641</v>
      </c>
      <c r="B368" t="s">
        <v>65</v>
      </c>
      <c r="C368" s="1">
        <v>42828</v>
      </c>
      <c r="D368" t="s">
        <v>313</v>
      </c>
      <c r="E368" t="s">
        <v>109</v>
      </c>
      <c r="F368" t="s">
        <v>110</v>
      </c>
      <c r="G368" t="s">
        <v>0</v>
      </c>
      <c r="H368" t="s">
        <v>1</v>
      </c>
      <c r="I368" t="s">
        <v>2</v>
      </c>
      <c r="J368" t="s">
        <v>911</v>
      </c>
      <c r="K368" t="s">
        <v>314</v>
      </c>
      <c r="L368" t="s">
        <v>140</v>
      </c>
      <c r="M368" t="s">
        <v>9</v>
      </c>
    </row>
    <row r="369" spans="1:13">
      <c r="A369" s="2">
        <v>40643</v>
      </c>
      <c r="B369" t="s">
        <v>65</v>
      </c>
      <c r="C369" s="1">
        <v>42843</v>
      </c>
      <c r="D369" t="s">
        <v>219</v>
      </c>
      <c r="E369" t="s">
        <v>109</v>
      </c>
      <c r="F369" t="s">
        <v>110</v>
      </c>
      <c r="G369" t="s">
        <v>0</v>
      </c>
      <c r="H369" t="s">
        <v>1</v>
      </c>
      <c r="I369" t="s">
        <v>2</v>
      </c>
      <c r="J369" t="s">
        <v>911</v>
      </c>
      <c r="K369" t="s">
        <v>315</v>
      </c>
      <c r="L369" t="s">
        <v>140</v>
      </c>
      <c r="M369" t="s">
        <v>9</v>
      </c>
    </row>
    <row r="370" spans="1:13">
      <c r="A370" s="2">
        <v>40649</v>
      </c>
      <c r="B370" t="s">
        <v>3</v>
      </c>
      <c r="C370" s="1">
        <v>42828</v>
      </c>
      <c r="D370" t="s">
        <v>316</v>
      </c>
      <c r="E370" t="s">
        <v>118</v>
      </c>
      <c r="F370" t="s">
        <v>119</v>
      </c>
      <c r="G370" t="s">
        <v>0</v>
      </c>
      <c r="H370" t="s">
        <v>1</v>
      </c>
      <c r="I370" t="s">
        <v>2</v>
      </c>
      <c r="J370" t="s">
        <v>911</v>
      </c>
      <c r="K370" t="s">
        <v>317</v>
      </c>
      <c r="L370" t="s">
        <v>140</v>
      </c>
      <c r="M370" t="s">
        <v>9</v>
      </c>
    </row>
    <row r="371" spans="1:13">
      <c r="A371" s="2">
        <v>40651</v>
      </c>
      <c r="B371" t="s">
        <v>3</v>
      </c>
      <c r="C371" s="1">
        <v>42828</v>
      </c>
      <c r="D371" t="s">
        <v>101</v>
      </c>
      <c r="E371" t="s">
        <v>118</v>
      </c>
      <c r="F371" t="s">
        <v>119</v>
      </c>
      <c r="G371" t="s">
        <v>0</v>
      </c>
      <c r="H371" t="s">
        <v>1</v>
      </c>
      <c r="I371" t="s">
        <v>2</v>
      </c>
      <c r="J371" t="s">
        <v>911</v>
      </c>
      <c r="K371" t="s">
        <v>318</v>
      </c>
      <c r="L371" t="s">
        <v>140</v>
      </c>
      <c r="M371" t="s">
        <v>9</v>
      </c>
    </row>
    <row r="372" spans="1:13">
      <c r="A372" s="2">
        <v>40655</v>
      </c>
      <c r="B372" t="s">
        <v>65</v>
      </c>
      <c r="C372" s="1">
        <v>42843</v>
      </c>
      <c r="D372" t="s">
        <v>219</v>
      </c>
      <c r="E372" t="s">
        <v>109</v>
      </c>
      <c r="F372" t="s">
        <v>110</v>
      </c>
      <c r="G372" t="s">
        <v>0</v>
      </c>
      <c r="H372" t="s">
        <v>1</v>
      </c>
      <c r="I372" t="s">
        <v>2</v>
      </c>
      <c r="J372" t="s">
        <v>911</v>
      </c>
      <c r="K372" t="s">
        <v>319</v>
      </c>
      <c r="L372" t="s">
        <v>140</v>
      </c>
      <c r="M372" t="s">
        <v>9</v>
      </c>
    </row>
    <row r="373" spans="1:13">
      <c r="A373" s="2">
        <v>40660</v>
      </c>
      <c r="B373" t="s">
        <v>65</v>
      </c>
      <c r="C373" s="1">
        <v>42828</v>
      </c>
      <c r="D373" t="s">
        <v>320</v>
      </c>
      <c r="E373" t="s">
        <v>109</v>
      </c>
      <c r="F373" t="s">
        <v>110</v>
      </c>
      <c r="G373" t="s">
        <v>0</v>
      </c>
      <c r="H373" t="s">
        <v>1</v>
      </c>
      <c r="I373" t="s">
        <v>2</v>
      </c>
      <c r="J373" t="s">
        <v>911</v>
      </c>
      <c r="K373" t="s">
        <v>321</v>
      </c>
      <c r="L373" t="s">
        <v>140</v>
      </c>
      <c r="M373" t="s">
        <v>9</v>
      </c>
    </row>
    <row r="374" spans="1:13">
      <c r="A374" s="2">
        <v>40662</v>
      </c>
      <c r="B374" t="s">
        <v>3</v>
      </c>
      <c r="C374" s="1">
        <v>42828</v>
      </c>
      <c r="D374" t="s">
        <v>138</v>
      </c>
      <c r="E374" t="s">
        <v>118</v>
      </c>
      <c r="F374" t="s">
        <v>119</v>
      </c>
      <c r="G374" t="s">
        <v>0</v>
      </c>
      <c r="H374" t="s">
        <v>1</v>
      </c>
      <c r="I374" t="s">
        <v>2</v>
      </c>
      <c r="J374" t="s">
        <v>911</v>
      </c>
      <c r="K374" t="s">
        <v>322</v>
      </c>
      <c r="L374" t="s">
        <v>140</v>
      </c>
      <c r="M374" t="s">
        <v>9</v>
      </c>
    </row>
    <row r="375" spans="1:13">
      <c r="A375" s="2">
        <v>40665</v>
      </c>
      <c r="B375" t="s">
        <v>65</v>
      </c>
      <c r="C375" s="1">
        <v>42828</v>
      </c>
      <c r="D375" t="s">
        <v>323</v>
      </c>
      <c r="E375" t="s">
        <v>109</v>
      </c>
      <c r="F375" t="s">
        <v>110</v>
      </c>
      <c r="G375" t="s">
        <v>0</v>
      </c>
      <c r="H375" t="s">
        <v>1</v>
      </c>
      <c r="I375" t="s">
        <v>2</v>
      </c>
      <c r="J375" t="s">
        <v>911</v>
      </c>
      <c r="K375" t="s">
        <v>324</v>
      </c>
      <c r="L375" t="s">
        <v>140</v>
      </c>
      <c r="M375" t="s">
        <v>9</v>
      </c>
    </row>
    <row r="376" spans="1:13">
      <c r="A376" s="2">
        <v>40678</v>
      </c>
      <c r="B376" t="s">
        <v>3</v>
      </c>
      <c r="C376" s="1">
        <v>42828</v>
      </c>
      <c r="D376" t="s">
        <v>325</v>
      </c>
      <c r="E376" t="s">
        <v>118</v>
      </c>
      <c r="F376" t="s">
        <v>119</v>
      </c>
      <c r="G376" t="s">
        <v>0</v>
      </c>
      <c r="H376" t="s">
        <v>1</v>
      </c>
      <c r="I376" t="s">
        <v>2</v>
      </c>
      <c r="J376" t="s">
        <v>911</v>
      </c>
      <c r="K376" t="s">
        <v>326</v>
      </c>
      <c r="L376" t="s">
        <v>140</v>
      </c>
      <c r="M376" t="s">
        <v>9</v>
      </c>
    </row>
    <row r="377" spans="1:13">
      <c r="A377" s="2">
        <v>40686</v>
      </c>
      <c r="B377" t="s">
        <v>212</v>
      </c>
      <c r="C377" s="1">
        <v>42843</v>
      </c>
      <c r="D377" t="s">
        <v>260</v>
      </c>
      <c r="E377" t="s">
        <v>109</v>
      </c>
      <c r="F377" t="s">
        <v>110</v>
      </c>
      <c r="G377" t="s">
        <v>0</v>
      </c>
      <c r="H377" t="s">
        <v>1</v>
      </c>
      <c r="I377" t="s">
        <v>2</v>
      </c>
      <c r="J377" t="s">
        <v>911</v>
      </c>
      <c r="K377" t="s">
        <v>327</v>
      </c>
      <c r="L377" t="s">
        <v>140</v>
      </c>
      <c r="M377" t="s">
        <v>9</v>
      </c>
    </row>
    <row r="378" spans="1:13">
      <c r="A378" s="2">
        <v>40687</v>
      </c>
      <c r="B378" t="s">
        <v>65</v>
      </c>
      <c r="C378" s="1">
        <v>42843</v>
      </c>
      <c r="D378" t="s">
        <v>219</v>
      </c>
      <c r="E378" t="s">
        <v>109</v>
      </c>
      <c r="F378" t="s">
        <v>110</v>
      </c>
      <c r="G378" t="s">
        <v>0</v>
      </c>
      <c r="H378" t="s">
        <v>1</v>
      </c>
      <c r="I378" t="s">
        <v>2</v>
      </c>
      <c r="J378" t="s">
        <v>911</v>
      </c>
      <c r="K378" t="s">
        <v>328</v>
      </c>
      <c r="L378" t="s">
        <v>140</v>
      </c>
      <c r="M378" t="s">
        <v>9</v>
      </c>
    </row>
    <row r="379" spans="1:13">
      <c r="A379" s="2">
        <v>40692</v>
      </c>
      <c r="B379" t="s">
        <v>65</v>
      </c>
      <c r="C379" s="1">
        <v>42843</v>
      </c>
      <c r="D379" t="s">
        <v>219</v>
      </c>
      <c r="E379" t="s">
        <v>109</v>
      </c>
      <c r="F379" t="s">
        <v>110</v>
      </c>
      <c r="G379" t="s">
        <v>0</v>
      </c>
      <c r="H379" t="s">
        <v>1</v>
      </c>
      <c r="I379" t="s">
        <v>2</v>
      </c>
      <c r="J379" t="s">
        <v>911</v>
      </c>
      <c r="K379" t="s">
        <v>329</v>
      </c>
      <c r="L379" t="s">
        <v>140</v>
      </c>
      <c r="M379" t="s">
        <v>9</v>
      </c>
    </row>
    <row r="380" spans="1:13">
      <c r="A380" s="2">
        <v>40697</v>
      </c>
      <c r="B380" t="s">
        <v>65</v>
      </c>
      <c r="C380" s="1">
        <v>42828</v>
      </c>
      <c r="D380" t="s">
        <v>330</v>
      </c>
      <c r="E380" t="s">
        <v>109</v>
      </c>
      <c r="F380" t="s">
        <v>110</v>
      </c>
      <c r="G380" t="s">
        <v>0</v>
      </c>
      <c r="H380" t="s">
        <v>1</v>
      </c>
      <c r="I380" t="s">
        <v>2</v>
      </c>
      <c r="J380" t="s">
        <v>911</v>
      </c>
      <c r="K380" t="s">
        <v>331</v>
      </c>
      <c r="L380" t="s">
        <v>140</v>
      </c>
      <c r="M380" t="s">
        <v>9</v>
      </c>
    </row>
    <row r="381" spans="1:13">
      <c r="A381" s="2">
        <v>40698</v>
      </c>
      <c r="B381" t="s">
        <v>212</v>
      </c>
      <c r="C381" s="1">
        <v>42843</v>
      </c>
      <c r="D381" t="s">
        <v>260</v>
      </c>
      <c r="E381" t="s">
        <v>109</v>
      </c>
      <c r="F381" t="s">
        <v>110</v>
      </c>
      <c r="G381" t="s">
        <v>0</v>
      </c>
      <c r="H381" t="s">
        <v>1</v>
      </c>
      <c r="I381" t="s">
        <v>2</v>
      </c>
      <c r="J381" t="s">
        <v>911</v>
      </c>
      <c r="K381" t="s">
        <v>332</v>
      </c>
      <c r="L381" t="s">
        <v>140</v>
      </c>
      <c r="M381" t="s">
        <v>9</v>
      </c>
    </row>
    <row r="382" spans="1:13">
      <c r="A382" s="2">
        <v>40702</v>
      </c>
      <c r="B382" t="s">
        <v>65</v>
      </c>
      <c r="C382" s="1">
        <v>42828</v>
      </c>
      <c r="D382" t="s">
        <v>333</v>
      </c>
      <c r="E382" t="s">
        <v>109</v>
      </c>
      <c r="F382" t="s">
        <v>110</v>
      </c>
      <c r="G382" t="s">
        <v>0</v>
      </c>
      <c r="H382" t="s">
        <v>1</v>
      </c>
      <c r="I382" t="s">
        <v>2</v>
      </c>
      <c r="J382" t="s">
        <v>911</v>
      </c>
      <c r="K382" t="s">
        <v>334</v>
      </c>
      <c r="L382" t="s">
        <v>140</v>
      </c>
      <c r="M382" t="s">
        <v>9</v>
      </c>
    </row>
    <row r="383" spans="1:13">
      <c r="A383" s="2">
        <v>40706</v>
      </c>
      <c r="B383" t="s">
        <v>3</v>
      </c>
      <c r="C383" s="1">
        <v>42828</v>
      </c>
      <c r="D383" t="s">
        <v>101</v>
      </c>
      <c r="E383" t="s">
        <v>118</v>
      </c>
      <c r="F383" t="s">
        <v>119</v>
      </c>
      <c r="G383" t="s">
        <v>0</v>
      </c>
      <c r="H383" t="s">
        <v>1</v>
      </c>
      <c r="I383" t="s">
        <v>2</v>
      </c>
      <c r="J383" t="s">
        <v>911</v>
      </c>
      <c r="K383" t="s">
        <v>335</v>
      </c>
      <c r="L383" t="s">
        <v>140</v>
      </c>
      <c r="M383" t="s">
        <v>9</v>
      </c>
    </row>
    <row r="384" spans="1:13">
      <c r="A384" s="2">
        <v>40708</v>
      </c>
      <c r="B384" t="s">
        <v>65</v>
      </c>
      <c r="C384" s="1">
        <v>42843</v>
      </c>
      <c r="D384" t="s">
        <v>219</v>
      </c>
      <c r="E384" t="s">
        <v>109</v>
      </c>
      <c r="F384" t="s">
        <v>110</v>
      </c>
      <c r="G384" t="s">
        <v>0</v>
      </c>
      <c r="H384" t="s">
        <v>1</v>
      </c>
      <c r="I384" t="s">
        <v>2</v>
      </c>
      <c r="J384" t="s">
        <v>911</v>
      </c>
      <c r="K384" t="s">
        <v>336</v>
      </c>
      <c r="L384" t="s">
        <v>140</v>
      </c>
      <c r="M384" t="s">
        <v>9</v>
      </c>
    </row>
    <row r="385" spans="1:13">
      <c r="A385" s="2">
        <v>40713</v>
      </c>
      <c r="B385" t="s">
        <v>65</v>
      </c>
      <c r="C385" s="1">
        <v>42843</v>
      </c>
      <c r="D385" t="s">
        <v>219</v>
      </c>
      <c r="E385" t="s">
        <v>109</v>
      </c>
      <c r="F385" t="s">
        <v>110</v>
      </c>
      <c r="G385" t="s">
        <v>0</v>
      </c>
      <c r="H385" t="s">
        <v>1</v>
      </c>
      <c r="I385" t="s">
        <v>2</v>
      </c>
      <c r="J385" t="s">
        <v>911</v>
      </c>
      <c r="K385" t="s">
        <v>337</v>
      </c>
      <c r="L385" t="s">
        <v>140</v>
      </c>
      <c r="M385" t="s">
        <v>9</v>
      </c>
    </row>
    <row r="386" spans="1:13">
      <c r="A386" s="2">
        <v>40714</v>
      </c>
      <c r="B386" t="s">
        <v>65</v>
      </c>
      <c r="C386" s="1">
        <v>42843</v>
      </c>
      <c r="D386" t="s">
        <v>219</v>
      </c>
      <c r="E386" t="s">
        <v>109</v>
      </c>
      <c r="F386" t="s">
        <v>110</v>
      </c>
      <c r="G386" t="s">
        <v>0</v>
      </c>
      <c r="H386" t="s">
        <v>1</v>
      </c>
      <c r="I386" t="s">
        <v>2</v>
      </c>
      <c r="J386" t="s">
        <v>911</v>
      </c>
      <c r="K386" t="s">
        <v>338</v>
      </c>
      <c r="L386" t="s">
        <v>140</v>
      </c>
      <c r="M386" t="s">
        <v>9</v>
      </c>
    </row>
    <row r="387" spans="1:13">
      <c r="A387" s="2">
        <v>40716</v>
      </c>
      <c r="B387" t="s">
        <v>65</v>
      </c>
      <c r="C387" s="1">
        <v>42828</v>
      </c>
      <c r="D387" t="s">
        <v>339</v>
      </c>
      <c r="E387" t="s">
        <v>109</v>
      </c>
      <c r="F387" t="s">
        <v>110</v>
      </c>
      <c r="G387" t="s">
        <v>0</v>
      </c>
      <c r="H387" t="s">
        <v>1</v>
      </c>
      <c r="I387" t="s">
        <v>2</v>
      </c>
      <c r="J387" t="s">
        <v>911</v>
      </c>
      <c r="K387" t="s">
        <v>340</v>
      </c>
      <c r="L387" t="s">
        <v>140</v>
      </c>
      <c r="M387" t="s">
        <v>9</v>
      </c>
    </row>
    <row r="388" spans="1:13">
      <c r="A388" s="2">
        <v>40747</v>
      </c>
      <c r="B388" t="s">
        <v>24</v>
      </c>
      <c r="C388" s="1">
        <v>42864</v>
      </c>
      <c r="D388" t="s">
        <v>341</v>
      </c>
      <c r="E388" t="s">
        <v>102</v>
      </c>
      <c r="F388" t="s">
        <v>103</v>
      </c>
      <c r="G388" t="s">
        <v>0</v>
      </c>
      <c r="H388" t="s">
        <v>1</v>
      </c>
      <c r="I388" t="s">
        <v>2</v>
      </c>
      <c r="J388" t="s">
        <v>911</v>
      </c>
      <c r="K388" t="s">
        <v>342</v>
      </c>
      <c r="L388" t="s">
        <v>153</v>
      </c>
      <c r="M388" t="s">
        <v>9</v>
      </c>
    </row>
    <row r="389" spans="1:13">
      <c r="A389" s="2">
        <v>40754</v>
      </c>
      <c r="B389" t="s">
        <v>65</v>
      </c>
      <c r="C389" s="1">
        <v>42864</v>
      </c>
      <c r="D389" t="s">
        <v>343</v>
      </c>
      <c r="E389" t="s">
        <v>109</v>
      </c>
      <c r="F389" t="s">
        <v>110</v>
      </c>
      <c r="G389" t="s">
        <v>0</v>
      </c>
      <c r="H389" t="s">
        <v>1</v>
      </c>
      <c r="I389" t="s">
        <v>2</v>
      </c>
      <c r="J389" t="s">
        <v>911</v>
      </c>
      <c r="K389" t="s">
        <v>344</v>
      </c>
      <c r="L389" t="s">
        <v>153</v>
      </c>
      <c r="M389" t="s">
        <v>9</v>
      </c>
    </row>
    <row r="390" spans="1:13">
      <c r="A390" s="2">
        <v>40756</v>
      </c>
      <c r="B390" t="s">
        <v>65</v>
      </c>
      <c r="C390" s="1">
        <v>42864</v>
      </c>
      <c r="D390" t="s">
        <v>345</v>
      </c>
      <c r="E390" t="s">
        <v>109</v>
      </c>
      <c r="F390" t="s">
        <v>110</v>
      </c>
      <c r="G390" t="s">
        <v>0</v>
      </c>
      <c r="H390" t="s">
        <v>1</v>
      </c>
      <c r="I390" t="s">
        <v>2</v>
      </c>
      <c r="J390" t="s">
        <v>911</v>
      </c>
      <c r="K390" t="s">
        <v>346</v>
      </c>
      <c r="L390" t="s">
        <v>153</v>
      </c>
      <c r="M390" t="s">
        <v>9</v>
      </c>
    </row>
    <row r="391" spans="1:13">
      <c r="A391" s="2">
        <v>40758</v>
      </c>
      <c r="B391" t="s">
        <v>65</v>
      </c>
      <c r="C391" s="1">
        <v>42864</v>
      </c>
      <c r="D391" t="s">
        <v>343</v>
      </c>
      <c r="E391" t="s">
        <v>109</v>
      </c>
      <c r="F391" t="s">
        <v>110</v>
      </c>
      <c r="G391" t="s">
        <v>0</v>
      </c>
      <c r="H391" t="s">
        <v>1</v>
      </c>
      <c r="I391" t="s">
        <v>2</v>
      </c>
      <c r="J391" t="s">
        <v>911</v>
      </c>
      <c r="K391" t="s">
        <v>347</v>
      </c>
      <c r="L391" t="s">
        <v>153</v>
      </c>
      <c r="M391" t="s">
        <v>9</v>
      </c>
    </row>
    <row r="392" spans="1:13">
      <c r="A392" s="2">
        <v>40760</v>
      </c>
      <c r="B392" t="s">
        <v>65</v>
      </c>
      <c r="C392" s="1">
        <v>42864</v>
      </c>
      <c r="D392" t="s">
        <v>343</v>
      </c>
      <c r="E392" t="s">
        <v>109</v>
      </c>
      <c r="F392" t="s">
        <v>110</v>
      </c>
      <c r="G392" t="s">
        <v>0</v>
      </c>
      <c r="H392" t="s">
        <v>1</v>
      </c>
      <c r="I392" t="s">
        <v>2</v>
      </c>
      <c r="J392" t="s">
        <v>911</v>
      </c>
      <c r="K392" t="s">
        <v>348</v>
      </c>
      <c r="L392" t="s">
        <v>153</v>
      </c>
      <c r="M392" t="s">
        <v>9</v>
      </c>
    </row>
    <row r="393" spans="1:13">
      <c r="A393" s="2">
        <v>40762</v>
      </c>
      <c r="B393" t="s">
        <v>65</v>
      </c>
      <c r="C393" s="1">
        <v>42864</v>
      </c>
      <c r="D393" t="s">
        <v>343</v>
      </c>
      <c r="E393" t="s">
        <v>109</v>
      </c>
      <c r="F393" t="s">
        <v>110</v>
      </c>
      <c r="G393" t="s">
        <v>0</v>
      </c>
      <c r="H393" t="s">
        <v>1</v>
      </c>
      <c r="I393" t="s">
        <v>2</v>
      </c>
      <c r="J393" t="s">
        <v>911</v>
      </c>
      <c r="K393" t="s">
        <v>349</v>
      </c>
      <c r="L393" t="s">
        <v>153</v>
      </c>
      <c r="M393" t="s">
        <v>9</v>
      </c>
    </row>
    <row r="394" spans="1:13">
      <c r="A394" s="2">
        <v>40770</v>
      </c>
      <c r="B394" t="s">
        <v>65</v>
      </c>
      <c r="C394" s="1">
        <v>42864</v>
      </c>
      <c r="D394" t="s">
        <v>343</v>
      </c>
      <c r="E394" t="s">
        <v>109</v>
      </c>
      <c r="F394" t="s">
        <v>110</v>
      </c>
      <c r="G394" t="s">
        <v>0</v>
      </c>
      <c r="H394" t="s">
        <v>1</v>
      </c>
      <c r="I394" t="s">
        <v>2</v>
      </c>
      <c r="J394" t="s">
        <v>911</v>
      </c>
      <c r="K394" t="s">
        <v>350</v>
      </c>
      <c r="L394" t="s">
        <v>105</v>
      </c>
      <c r="M394" t="s">
        <v>9</v>
      </c>
    </row>
    <row r="395" spans="1:13">
      <c r="A395" s="2">
        <v>40779</v>
      </c>
      <c r="B395" t="s">
        <v>24</v>
      </c>
      <c r="C395" s="1">
        <v>42864</v>
      </c>
      <c r="D395" t="s">
        <v>351</v>
      </c>
      <c r="E395" t="s">
        <v>102</v>
      </c>
      <c r="F395" t="s">
        <v>103</v>
      </c>
      <c r="G395" t="s">
        <v>0</v>
      </c>
      <c r="H395" t="s">
        <v>1</v>
      </c>
      <c r="I395" t="s">
        <v>2</v>
      </c>
      <c r="J395" t="s">
        <v>911</v>
      </c>
      <c r="K395" t="s">
        <v>352</v>
      </c>
      <c r="L395" t="s">
        <v>153</v>
      </c>
      <c r="M395" t="s">
        <v>9</v>
      </c>
    </row>
    <row r="396" spans="1:13">
      <c r="A396" s="2">
        <v>40781</v>
      </c>
      <c r="B396" t="s">
        <v>3</v>
      </c>
      <c r="C396" s="1">
        <v>42864</v>
      </c>
      <c r="D396" t="s">
        <v>275</v>
      </c>
      <c r="E396" t="s">
        <v>102</v>
      </c>
      <c r="F396" t="s">
        <v>103</v>
      </c>
      <c r="G396" t="s">
        <v>0</v>
      </c>
      <c r="H396" t="s">
        <v>1</v>
      </c>
      <c r="I396" t="s">
        <v>2</v>
      </c>
      <c r="J396" t="s">
        <v>911</v>
      </c>
      <c r="K396" t="s">
        <v>353</v>
      </c>
      <c r="L396" t="s">
        <v>153</v>
      </c>
      <c r="M396" t="s">
        <v>9</v>
      </c>
    </row>
    <row r="397" spans="1:13">
      <c r="A397" s="2">
        <v>40786</v>
      </c>
      <c r="B397" t="s">
        <v>86</v>
      </c>
      <c r="C397" s="1">
        <v>42864</v>
      </c>
      <c r="D397" t="s">
        <v>354</v>
      </c>
      <c r="E397" t="s">
        <v>109</v>
      </c>
      <c r="F397" t="s">
        <v>110</v>
      </c>
      <c r="G397" t="s">
        <v>0</v>
      </c>
      <c r="H397" t="s">
        <v>1</v>
      </c>
      <c r="I397" t="s">
        <v>2</v>
      </c>
      <c r="J397" t="s">
        <v>911</v>
      </c>
      <c r="K397" t="s">
        <v>355</v>
      </c>
      <c r="L397" t="s">
        <v>105</v>
      </c>
      <c r="M397" t="s">
        <v>9</v>
      </c>
    </row>
    <row r="398" spans="1:13">
      <c r="A398" s="2">
        <v>40787</v>
      </c>
      <c r="B398" t="s">
        <v>65</v>
      </c>
      <c r="C398" s="1">
        <v>42864</v>
      </c>
      <c r="D398" t="s">
        <v>343</v>
      </c>
      <c r="E398" t="s">
        <v>109</v>
      </c>
      <c r="F398" t="s">
        <v>110</v>
      </c>
      <c r="G398" t="s">
        <v>0</v>
      </c>
      <c r="H398" t="s">
        <v>1</v>
      </c>
      <c r="I398" t="s">
        <v>2</v>
      </c>
      <c r="J398" t="s">
        <v>911</v>
      </c>
      <c r="K398" t="s">
        <v>356</v>
      </c>
      <c r="L398" t="s">
        <v>105</v>
      </c>
      <c r="M398" t="s">
        <v>9</v>
      </c>
    </row>
    <row r="399" spans="1:13">
      <c r="A399" s="2">
        <v>40793</v>
      </c>
      <c r="B399" t="s">
        <v>65</v>
      </c>
      <c r="C399" s="1">
        <v>42864</v>
      </c>
      <c r="D399" t="s">
        <v>343</v>
      </c>
      <c r="E399" t="s">
        <v>109</v>
      </c>
      <c r="F399" t="s">
        <v>110</v>
      </c>
      <c r="G399" t="s">
        <v>0</v>
      </c>
      <c r="H399" t="s">
        <v>1</v>
      </c>
      <c r="I399" t="s">
        <v>2</v>
      </c>
      <c r="J399" t="s">
        <v>911</v>
      </c>
      <c r="K399" t="s">
        <v>357</v>
      </c>
      <c r="L399" t="s">
        <v>105</v>
      </c>
      <c r="M399" t="s">
        <v>9</v>
      </c>
    </row>
    <row r="400" spans="1:13">
      <c r="A400" s="2">
        <v>40802</v>
      </c>
      <c r="B400" t="s">
        <v>65</v>
      </c>
      <c r="C400" s="1">
        <v>42864</v>
      </c>
      <c r="D400" t="s">
        <v>343</v>
      </c>
      <c r="E400" t="s">
        <v>109</v>
      </c>
      <c r="F400" t="s">
        <v>110</v>
      </c>
      <c r="G400" t="s">
        <v>0</v>
      </c>
      <c r="H400" t="s">
        <v>1</v>
      </c>
      <c r="I400" t="s">
        <v>2</v>
      </c>
      <c r="J400" t="s">
        <v>911</v>
      </c>
      <c r="K400" t="s">
        <v>358</v>
      </c>
      <c r="L400" t="s">
        <v>105</v>
      </c>
      <c r="M400" t="s">
        <v>9</v>
      </c>
    </row>
    <row r="401" spans="1:13">
      <c r="A401" s="2">
        <v>40808</v>
      </c>
      <c r="B401" t="s">
        <v>65</v>
      </c>
      <c r="C401" s="1">
        <v>42864</v>
      </c>
      <c r="D401" t="s">
        <v>343</v>
      </c>
      <c r="E401" t="s">
        <v>109</v>
      </c>
      <c r="F401" t="s">
        <v>110</v>
      </c>
      <c r="G401" t="s">
        <v>0</v>
      </c>
      <c r="H401" t="s">
        <v>1</v>
      </c>
      <c r="I401" t="s">
        <v>2</v>
      </c>
      <c r="J401" t="s">
        <v>911</v>
      </c>
      <c r="K401" t="s">
        <v>359</v>
      </c>
      <c r="L401" t="s">
        <v>105</v>
      </c>
      <c r="M401" t="s">
        <v>9</v>
      </c>
    </row>
    <row r="402" spans="1:13">
      <c r="A402" s="2">
        <v>40811</v>
      </c>
      <c r="B402" t="s">
        <v>65</v>
      </c>
      <c r="C402" s="1">
        <v>42864</v>
      </c>
      <c r="D402" t="s">
        <v>343</v>
      </c>
      <c r="E402" t="s">
        <v>109</v>
      </c>
      <c r="F402" t="s">
        <v>110</v>
      </c>
      <c r="G402" t="s">
        <v>0</v>
      </c>
      <c r="H402" t="s">
        <v>1</v>
      </c>
      <c r="I402" t="s">
        <v>2</v>
      </c>
      <c r="J402" t="s">
        <v>911</v>
      </c>
      <c r="K402" t="s">
        <v>360</v>
      </c>
      <c r="L402" t="s">
        <v>105</v>
      </c>
      <c r="M402" t="s">
        <v>9</v>
      </c>
    </row>
    <row r="403" spans="1:13">
      <c r="A403" s="2">
        <v>40813</v>
      </c>
      <c r="B403" t="s">
        <v>24</v>
      </c>
      <c r="C403" s="1">
        <v>42864</v>
      </c>
      <c r="D403" t="s">
        <v>361</v>
      </c>
      <c r="E403" t="s">
        <v>102</v>
      </c>
      <c r="F403" t="s">
        <v>103</v>
      </c>
      <c r="G403" t="s">
        <v>0</v>
      </c>
      <c r="H403" t="s">
        <v>1</v>
      </c>
      <c r="I403" t="s">
        <v>2</v>
      </c>
      <c r="J403" t="s">
        <v>911</v>
      </c>
      <c r="K403" t="s">
        <v>362</v>
      </c>
      <c r="L403" t="s">
        <v>105</v>
      </c>
      <c r="M403" t="s">
        <v>9</v>
      </c>
    </row>
    <row r="404" spans="1:13">
      <c r="A404" s="2">
        <v>40816</v>
      </c>
      <c r="B404" t="s">
        <v>65</v>
      </c>
      <c r="C404" s="1">
        <v>42864</v>
      </c>
      <c r="D404" t="s">
        <v>343</v>
      </c>
      <c r="E404" t="s">
        <v>109</v>
      </c>
      <c r="F404" t="s">
        <v>110</v>
      </c>
      <c r="G404" t="s">
        <v>0</v>
      </c>
      <c r="H404" t="s">
        <v>1</v>
      </c>
      <c r="I404" t="s">
        <v>2</v>
      </c>
      <c r="J404" t="s">
        <v>911</v>
      </c>
      <c r="K404" t="s">
        <v>363</v>
      </c>
      <c r="L404" t="s">
        <v>105</v>
      </c>
      <c r="M404" t="s">
        <v>9</v>
      </c>
    </row>
    <row r="405" spans="1:13">
      <c r="A405" s="2">
        <v>40824</v>
      </c>
      <c r="B405" t="s">
        <v>212</v>
      </c>
      <c r="C405" s="1">
        <v>42864</v>
      </c>
      <c r="D405" t="s">
        <v>364</v>
      </c>
      <c r="E405" t="s">
        <v>109</v>
      </c>
      <c r="F405" t="s">
        <v>110</v>
      </c>
      <c r="G405" t="s">
        <v>0</v>
      </c>
      <c r="H405" t="s">
        <v>1</v>
      </c>
      <c r="I405" t="s">
        <v>2</v>
      </c>
      <c r="J405" t="s">
        <v>911</v>
      </c>
      <c r="K405" t="s">
        <v>365</v>
      </c>
      <c r="L405" t="s">
        <v>105</v>
      </c>
      <c r="M405" t="s">
        <v>9</v>
      </c>
    </row>
    <row r="406" spans="1:13">
      <c r="A406" s="2">
        <v>40825</v>
      </c>
      <c r="B406" t="s">
        <v>65</v>
      </c>
      <c r="C406" s="1">
        <v>42864</v>
      </c>
      <c r="D406" t="s">
        <v>343</v>
      </c>
      <c r="E406" t="s">
        <v>109</v>
      </c>
      <c r="F406" t="s">
        <v>110</v>
      </c>
      <c r="G406" t="s">
        <v>0</v>
      </c>
      <c r="H406" t="s">
        <v>1</v>
      </c>
      <c r="I406" t="s">
        <v>2</v>
      </c>
      <c r="J406" t="s">
        <v>911</v>
      </c>
      <c r="K406" t="s">
        <v>366</v>
      </c>
      <c r="L406" t="s">
        <v>105</v>
      </c>
      <c r="M406" t="s">
        <v>9</v>
      </c>
    </row>
    <row r="407" spans="1:13">
      <c r="A407" s="2">
        <v>40826</v>
      </c>
      <c r="B407" t="s">
        <v>65</v>
      </c>
      <c r="C407" s="1">
        <v>42864</v>
      </c>
      <c r="D407" t="s">
        <v>367</v>
      </c>
      <c r="E407" t="s">
        <v>109</v>
      </c>
      <c r="F407" t="s">
        <v>110</v>
      </c>
      <c r="G407" t="s">
        <v>0</v>
      </c>
      <c r="H407" t="s">
        <v>1</v>
      </c>
      <c r="I407" t="s">
        <v>2</v>
      </c>
      <c r="J407" t="s">
        <v>911</v>
      </c>
      <c r="K407" t="s">
        <v>368</v>
      </c>
      <c r="L407" t="s">
        <v>105</v>
      </c>
      <c r="M407" t="s">
        <v>9</v>
      </c>
    </row>
    <row r="408" spans="1:13">
      <c r="A408" s="2">
        <v>40827</v>
      </c>
      <c r="B408" t="s">
        <v>65</v>
      </c>
      <c r="C408" s="1">
        <v>42864</v>
      </c>
      <c r="D408" t="s">
        <v>343</v>
      </c>
      <c r="E408" t="s">
        <v>109</v>
      </c>
      <c r="F408" t="s">
        <v>110</v>
      </c>
      <c r="G408" t="s">
        <v>0</v>
      </c>
      <c r="H408" t="s">
        <v>1</v>
      </c>
      <c r="I408" t="s">
        <v>2</v>
      </c>
      <c r="J408" t="s">
        <v>911</v>
      </c>
      <c r="K408" t="s">
        <v>369</v>
      </c>
      <c r="L408" t="s">
        <v>105</v>
      </c>
      <c r="M408" t="s">
        <v>9</v>
      </c>
    </row>
    <row r="409" spans="1:13">
      <c r="A409" s="2">
        <v>40832</v>
      </c>
      <c r="B409" t="s">
        <v>65</v>
      </c>
      <c r="C409" s="1">
        <v>42864</v>
      </c>
      <c r="D409" t="s">
        <v>343</v>
      </c>
      <c r="E409" t="s">
        <v>109</v>
      </c>
      <c r="F409" t="s">
        <v>110</v>
      </c>
      <c r="G409" t="s">
        <v>0</v>
      </c>
      <c r="H409" t="s">
        <v>1</v>
      </c>
      <c r="I409" t="s">
        <v>2</v>
      </c>
      <c r="J409" t="s">
        <v>911</v>
      </c>
      <c r="K409" t="s">
        <v>370</v>
      </c>
      <c r="L409" t="s">
        <v>105</v>
      </c>
      <c r="M409" t="s">
        <v>9</v>
      </c>
    </row>
    <row r="410" spans="1:13">
      <c r="A410" s="2">
        <v>40843</v>
      </c>
      <c r="B410" t="s">
        <v>65</v>
      </c>
      <c r="C410" s="1">
        <v>42864</v>
      </c>
      <c r="D410" t="s">
        <v>371</v>
      </c>
      <c r="E410" t="s">
        <v>109</v>
      </c>
      <c r="F410" t="s">
        <v>110</v>
      </c>
      <c r="G410" t="s">
        <v>0</v>
      </c>
      <c r="H410" t="s">
        <v>1</v>
      </c>
      <c r="I410" t="s">
        <v>2</v>
      </c>
      <c r="J410" t="s">
        <v>911</v>
      </c>
      <c r="K410" t="s">
        <v>372</v>
      </c>
      <c r="L410" t="s">
        <v>105</v>
      </c>
      <c r="M410" t="s">
        <v>9</v>
      </c>
    </row>
    <row r="411" spans="1:13">
      <c r="A411" s="2">
        <v>40846</v>
      </c>
      <c r="B411" t="s">
        <v>65</v>
      </c>
      <c r="C411" s="1">
        <v>42864</v>
      </c>
      <c r="D411" t="s">
        <v>343</v>
      </c>
      <c r="E411" t="s">
        <v>109</v>
      </c>
      <c r="F411" t="s">
        <v>110</v>
      </c>
      <c r="G411" t="s">
        <v>0</v>
      </c>
      <c r="H411" t="s">
        <v>1</v>
      </c>
      <c r="I411" t="s">
        <v>2</v>
      </c>
      <c r="J411" t="s">
        <v>911</v>
      </c>
      <c r="K411" t="s">
        <v>373</v>
      </c>
      <c r="L411" t="s">
        <v>105</v>
      </c>
      <c r="M411" t="s">
        <v>9</v>
      </c>
    </row>
    <row r="412" spans="1:13">
      <c r="A412" s="2">
        <v>41447</v>
      </c>
      <c r="B412" t="s">
        <v>65</v>
      </c>
      <c r="C412" s="1">
        <v>42843</v>
      </c>
      <c r="D412" t="s">
        <v>219</v>
      </c>
      <c r="E412" t="s">
        <v>109</v>
      </c>
      <c r="F412" t="s">
        <v>110</v>
      </c>
      <c r="G412" t="s">
        <v>0</v>
      </c>
      <c r="H412" t="s">
        <v>1</v>
      </c>
      <c r="I412" t="s">
        <v>2</v>
      </c>
      <c r="J412" t="s">
        <v>911</v>
      </c>
      <c r="K412" t="s">
        <v>374</v>
      </c>
      <c r="L412" t="s">
        <v>165</v>
      </c>
      <c r="M412" t="s">
        <v>9</v>
      </c>
    </row>
    <row r="413" spans="1:13">
      <c r="A413" s="2">
        <v>41449</v>
      </c>
      <c r="B413" t="s">
        <v>65</v>
      </c>
      <c r="C413" s="1">
        <v>42828</v>
      </c>
      <c r="D413" t="s">
        <v>375</v>
      </c>
      <c r="E413" t="s">
        <v>109</v>
      </c>
      <c r="F413" t="s">
        <v>110</v>
      </c>
      <c r="G413" t="s">
        <v>0</v>
      </c>
      <c r="H413" t="s">
        <v>1</v>
      </c>
      <c r="I413" t="s">
        <v>2</v>
      </c>
      <c r="J413" t="s">
        <v>911</v>
      </c>
      <c r="K413" t="s">
        <v>376</v>
      </c>
      <c r="L413" t="s">
        <v>116</v>
      </c>
      <c r="M413" t="s">
        <v>9</v>
      </c>
    </row>
    <row r="414" spans="1:13">
      <c r="A414" s="2">
        <v>44586</v>
      </c>
      <c r="B414" t="s">
        <v>65</v>
      </c>
      <c r="C414" s="1">
        <v>42864</v>
      </c>
      <c r="D414" t="s">
        <v>343</v>
      </c>
      <c r="E414" t="s">
        <v>109</v>
      </c>
      <c r="F414" t="s">
        <v>110</v>
      </c>
      <c r="G414" t="s">
        <v>0</v>
      </c>
      <c r="H414" t="s">
        <v>1</v>
      </c>
      <c r="I414" t="s">
        <v>2</v>
      </c>
      <c r="J414" t="s">
        <v>911</v>
      </c>
      <c r="K414" t="s">
        <v>492</v>
      </c>
      <c r="L414" t="s">
        <v>153</v>
      </c>
      <c r="M414" t="s">
        <v>9</v>
      </c>
    </row>
    <row r="415" spans="1:13">
      <c r="A415" s="2">
        <v>44588</v>
      </c>
      <c r="B415" t="s">
        <v>24</v>
      </c>
      <c r="C415" s="1">
        <v>42864</v>
      </c>
      <c r="D415" t="s">
        <v>493</v>
      </c>
      <c r="E415" t="s">
        <v>102</v>
      </c>
      <c r="F415" t="s">
        <v>103</v>
      </c>
      <c r="G415" t="s">
        <v>0</v>
      </c>
      <c r="H415" t="s">
        <v>1</v>
      </c>
      <c r="I415" t="s">
        <v>2</v>
      </c>
      <c r="J415" t="s">
        <v>911</v>
      </c>
      <c r="K415" t="s">
        <v>494</v>
      </c>
      <c r="L415" t="s">
        <v>153</v>
      </c>
      <c r="M415" t="s">
        <v>9</v>
      </c>
    </row>
    <row r="416" spans="1:13">
      <c r="A416" s="2">
        <v>44589</v>
      </c>
      <c r="B416" t="s">
        <v>65</v>
      </c>
      <c r="C416" s="1">
        <v>42864</v>
      </c>
      <c r="D416" t="s">
        <v>343</v>
      </c>
      <c r="E416" t="s">
        <v>109</v>
      </c>
      <c r="F416" t="s">
        <v>110</v>
      </c>
      <c r="G416" t="s">
        <v>0</v>
      </c>
      <c r="H416" t="s">
        <v>1</v>
      </c>
      <c r="I416" t="s">
        <v>2</v>
      </c>
      <c r="J416" t="s">
        <v>911</v>
      </c>
      <c r="K416" t="s">
        <v>495</v>
      </c>
      <c r="L416" t="s">
        <v>153</v>
      </c>
      <c r="M416" t="s">
        <v>9</v>
      </c>
    </row>
    <row r="417" spans="1:13">
      <c r="A417" s="2">
        <v>44590</v>
      </c>
      <c r="B417" t="s">
        <v>65</v>
      </c>
      <c r="C417" s="1">
        <v>42864</v>
      </c>
      <c r="D417" t="s">
        <v>343</v>
      </c>
      <c r="E417" t="s">
        <v>109</v>
      </c>
      <c r="F417" t="s">
        <v>110</v>
      </c>
      <c r="G417" t="s">
        <v>0</v>
      </c>
      <c r="H417" t="s">
        <v>1</v>
      </c>
      <c r="I417" t="s">
        <v>2</v>
      </c>
      <c r="J417" t="s">
        <v>911</v>
      </c>
      <c r="K417" t="s">
        <v>496</v>
      </c>
      <c r="L417" t="s">
        <v>153</v>
      </c>
      <c r="M417" t="s">
        <v>9</v>
      </c>
    </row>
    <row r="418" spans="1:13">
      <c r="A418" s="2">
        <v>44592</v>
      </c>
      <c r="B418" t="s">
        <v>65</v>
      </c>
      <c r="C418" s="1">
        <v>42864</v>
      </c>
      <c r="D418" t="s">
        <v>343</v>
      </c>
      <c r="E418" t="s">
        <v>109</v>
      </c>
      <c r="F418" t="s">
        <v>110</v>
      </c>
      <c r="G418" t="s">
        <v>0</v>
      </c>
      <c r="H418" t="s">
        <v>1</v>
      </c>
      <c r="I418" t="s">
        <v>2</v>
      </c>
      <c r="J418" t="s">
        <v>911</v>
      </c>
      <c r="K418" t="s">
        <v>497</v>
      </c>
      <c r="L418" t="s">
        <v>153</v>
      </c>
      <c r="M418" t="s">
        <v>9</v>
      </c>
    </row>
    <row r="419" spans="1:13">
      <c r="A419" s="2">
        <v>44599</v>
      </c>
      <c r="B419" t="s">
        <v>212</v>
      </c>
      <c r="C419" s="1">
        <v>42828</v>
      </c>
      <c r="D419" t="s">
        <v>498</v>
      </c>
      <c r="E419" t="s">
        <v>109</v>
      </c>
      <c r="F419" t="s">
        <v>110</v>
      </c>
      <c r="G419" t="s">
        <v>0</v>
      </c>
      <c r="H419" t="s">
        <v>1</v>
      </c>
      <c r="I419" t="s">
        <v>2</v>
      </c>
      <c r="J419" t="s">
        <v>911</v>
      </c>
      <c r="K419" t="s">
        <v>499</v>
      </c>
      <c r="L419" t="s">
        <v>143</v>
      </c>
      <c r="M419" t="s">
        <v>9</v>
      </c>
    </row>
    <row r="420" spans="1:13">
      <c r="A420" s="2">
        <v>44608</v>
      </c>
      <c r="B420" t="s">
        <v>212</v>
      </c>
      <c r="C420" s="1">
        <v>42843</v>
      </c>
      <c r="D420" t="s">
        <v>260</v>
      </c>
      <c r="E420" t="s">
        <v>109</v>
      </c>
      <c r="F420" t="s">
        <v>110</v>
      </c>
      <c r="G420" t="s">
        <v>0</v>
      </c>
      <c r="H420" t="s">
        <v>1</v>
      </c>
      <c r="I420" t="s">
        <v>2</v>
      </c>
      <c r="J420" t="s">
        <v>911</v>
      </c>
      <c r="K420" t="s">
        <v>500</v>
      </c>
      <c r="L420" t="s">
        <v>143</v>
      </c>
      <c r="M420" t="s">
        <v>9</v>
      </c>
    </row>
    <row r="421" spans="1:13">
      <c r="A421" s="2">
        <v>44623</v>
      </c>
      <c r="B421" t="s">
        <v>65</v>
      </c>
      <c r="C421" s="1">
        <v>42843</v>
      </c>
      <c r="D421" t="s">
        <v>219</v>
      </c>
      <c r="E421" t="s">
        <v>109</v>
      </c>
      <c r="F421" t="s">
        <v>110</v>
      </c>
      <c r="G421" t="s">
        <v>0</v>
      </c>
      <c r="H421" t="s">
        <v>1</v>
      </c>
      <c r="I421" t="s">
        <v>2</v>
      </c>
      <c r="J421" t="s">
        <v>911</v>
      </c>
      <c r="K421" t="s">
        <v>501</v>
      </c>
      <c r="L421" t="s">
        <v>158</v>
      </c>
      <c r="M421" t="s">
        <v>9</v>
      </c>
    </row>
    <row r="422" spans="1:13">
      <c r="A422" s="2">
        <v>44788</v>
      </c>
      <c r="B422" t="s">
        <v>65</v>
      </c>
      <c r="C422" s="1">
        <v>42843</v>
      </c>
      <c r="D422" t="s">
        <v>219</v>
      </c>
      <c r="E422" t="s">
        <v>109</v>
      </c>
      <c r="F422" t="s">
        <v>110</v>
      </c>
      <c r="G422" t="s">
        <v>0</v>
      </c>
      <c r="H422" t="s">
        <v>1</v>
      </c>
      <c r="I422" t="s">
        <v>2</v>
      </c>
      <c r="J422" t="s">
        <v>911</v>
      </c>
      <c r="K422" t="s">
        <v>504</v>
      </c>
      <c r="L422" t="s">
        <v>165</v>
      </c>
      <c r="M422" t="s">
        <v>9</v>
      </c>
    </row>
    <row r="423" spans="1:13">
      <c r="A423" s="2">
        <v>44825</v>
      </c>
      <c r="B423" t="s">
        <v>65</v>
      </c>
      <c r="C423" s="1">
        <v>42843</v>
      </c>
      <c r="D423" t="s">
        <v>219</v>
      </c>
      <c r="E423" t="s">
        <v>109</v>
      </c>
      <c r="F423" t="s">
        <v>110</v>
      </c>
      <c r="G423" t="s">
        <v>0</v>
      </c>
      <c r="H423" t="s">
        <v>1</v>
      </c>
      <c r="I423" t="s">
        <v>2</v>
      </c>
      <c r="J423" t="s">
        <v>911</v>
      </c>
      <c r="K423" t="s">
        <v>505</v>
      </c>
      <c r="L423" t="s">
        <v>165</v>
      </c>
      <c r="M423" t="s">
        <v>9</v>
      </c>
    </row>
    <row r="424" spans="1:13">
      <c r="A424" s="2">
        <v>44826</v>
      </c>
      <c r="B424" t="s">
        <v>212</v>
      </c>
      <c r="C424" s="1">
        <v>42843</v>
      </c>
      <c r="D424" t="s">
        <v>260</v>
      </c>
      <c r="E424" t="s">
        <v>109</v>
      </c>
      <c r="F424" t="s">
        <v>110</v>
      </c>
      <c r="G424" t="s">
        <v>0</v>
      </c>
      <c r="H424" t="s">
        <v>1</v>
      </c>
      <c r="I424" t="s">
        <v>2</v>
      </c>
      <c r="J424" t="s">
        <v>911</v>
      </c>
      <c r="K424" t="s">
        <v>506</v>
      </c>
      <c r="L424" t="s">
        <v>165</v>
      </c>
      <c r="M424" t="s">
        <v>9</v>
      </c>
    </row>
    <row r="425" spans="1:13">
      <c r="A425" s="2">
        <v>44827</v>
      </c>
      <c r="B425" t="s">
        <v>65</v>
      </c>
      <c r="C425" s="1">
        <v>42843</v>
      </c>
      <c r="D425" t="s">
        <v>219</v>
      </c>
      <c r="E425" t="s">
        <v>109</v>
      </c>
      <c r="F425" t="s">
        <v>110</v>
      </c>
      <c r="G425" t="s">
        <v>0</v>
      </c>
      <c r="H425" t="s">
        <v>1</v>
      </c>
      <c r="I425" t="s">
        <v>2</v>
      </c>
      <c r="J425" t="s">
        <v>911</v>
      </c>
      <c r="K425" t="s">
        <v>507</v>
      </c>
      <c r="L425" t="s">
        <v>165</v>
      </c>
      <c r="M425" t="s">
        <v>9</v>
      </c>
    </row>
    <row r="426" spans="1:13">
      <c r="A426" s="2">
        <v>44833</v>
      </c>
      <c r="B426" t="s">
        <v>212</v>
      </c>
      <c r="C426" s="1">
        <v>42828</v>
      </c>
      <c r="D426" t="s">
        <v>508</v>
      </c>
      <c r="E426" t="s">
        <v>109</v>
      </c>
      <c r="F426" t="s">
        <v>110</v>
      </c>
      <c r="G426" t="s">
        <v>0</v>
      </c>
      <c r="H426" t="s">
        <v>1</v>
      </c>
      <c r="I426" t="s">
        <v>2</v>
      </c>
      <c r="J426" t="s">
        <v>911</v>
      </c>
      <c r="K426" t="s">
        <v>509</v>
      </c>
      <c r="L426" t="s">
        <v>165</v>
      </c>
      <c r="M426" t="s">
        <v>9</v>
      </c>
    </row>
    <row r="427" spans="1:13">
      <c r="A427" s="2">
        <v>44834</v>
      </c>
      <c r="B427" t="s">
        <v>65</v>
      </c>
      <c r="C427" s="1">
        <v>42828</v>
      </c>
      <c r="D427" t="s">
        <v>510</v>
      </c>
      <c r="E427" t="s">
        <v>109</v>
      </c>
      <c r="F427" t="s">
        <v>110</v>
      </c>
      <c r="G427" t="s">
        <v>0</v>
      </c>
      <c r="H427" t="s">
        <v>1</v>
      </c>
      <c r="I427" t="s">
        <v>2</v>
      </c>
      <c r="J427" t="s">
        <v>911</v>
      </c>
      <c r="K427" t="s">
        <v>511</v>
      </c>
      <c r="L427" t="s">
        <v>165</v>
      </c>
      <c r="M427" t="s">
        <v>9</v>
      </c>
    </row>
    <row r="428" spans="1:13">
      <c r="A428" s="2">
        <v>45119</v>
      </c>
      <c r="B428" t="s">
        <v>212</v>
      </c>
      <c r="C428" s="1">
        <v>42843</v>
      </c>
      <c r="D428" t="s">
        <v>260</v>
      </c>
      <c r="E428" t="s">
        <v>109</v>
      </c>
      <c r="F428" t="s">
        <v>110</v>
      </c>
      <c r="G428" t="s">
        <v>0</v>
      </c>
      <c r="H428" t="s">
        <v>1</v>
      </c>
      <c r="I428" t="s">
        <v>2</v>
      </c>
      <c r="J428" t="s">
        <v>911</v>
      </c>
      <c r="K428" t="s">
        <v>512</v>
      </c>
      <c r="L428" t="s">
        <v>116</v>
      </c>
      <c r="M428" t="s">
        <v>9</v>
      </c>
    </row>
    <row r="429" spans="1:13">
      <c r="A429" s="2">
        <v>45129</v>
      </c>
      <c r="B429" t="s">
        <v>65</v>
      </c>
      <c r="C429" s="1">
        <v>42828</v>
      </c>
      <c r="D429" t="s">
        <v>513</v>
      </c>
      <c r="E429" t="s">
        <v>109</v>
      </c>
      <c r="F429" t="s">
        <v>110</v>
      </c>
      <c r="G429" t="s">
        <v>0</v>
      </c>
      <c r="H429" t="s">
        <v>1</v>
      </c>
      <c r="I429" t="s">
        <v>2</v>
      </c>
      <c r="J429" t="s">
        <v>911</v>
      </c>
      <c r="K429" t="s">
        <v>514</v>
      </c>
      <c r="L429" t="s">
        <v>116</v>
      </c>
      <c r="M429" t="s">
        <v>9</v>
      </c>
    </row>
    <row r="430" spans="1:13">
      <c r="A430" s="2">
        <v>45305</v>
      </c>
      <c r="B430" t="s">
        <v>212</v>
      </c>
      <c r="C430" s="1">
        <v>42828</v>
      </c>
      <c r="D430" t="s">
        <v>518</v>
      </c>
      <c r="E430" t="s">
        <v>109</v>
      </c>
      <c r="F430" t="s">
        <v>110</v>
      </c>
      <c r="G430" t="s">
        <v>0</v>
      </c>
      <c r="H430" t="s">
        <v>1</v>
      </c>
      <c r="I430" t="s">
        <v>2</v>
      </c>
      <c r="J430" t="s">
        <v>911</v>
      </c>
      <c r="K430" t="s">
        <v>519</v>
      </c>
      <c r="L430" t="s">
        <v>131</v>
      </c>
      <c r="M430" t="s">
        <v>9</v>
      </c>
    </row>
    <row r="431" spans="1:13">
      <c r="A431" s="2">
        <v>45343</v>
      </c>
      <c r="B431" t="s">
        <v>65</v>
      </c>
      <c r="C431" s="1">
        <v>42843</v>
      </c>
      <c r="D431" t="s">
        <v>219</v>
      </c>
      <c r="E431" t="s">
        <v>109</v>
      </c>
      <c r="F431" t="s">
        <v>110</v>
      </c>
      <c r="G431" t="s">
        <v>0</v>
      </c>
      <c r="H431" t="s">
        <v>1</v>
      </c>
      <c r="I431" t="s">
        <v>2</v>
      </c>
      <c r="J431" t="s">
        <v>911</v>
      </c>
      <c r="K431" t="s">
        <v>523</v>
      </c>
      <c r="L431" t="s">
        <v>140</v>
      </c>
      <c r="M431" t="s">
        <v>9</v>
      </c>
    </row>
    <row r="432" spans="1:13">
      <c r="A432" s="2">
        <v>45350</v>
      </c>
      <c r="B432" t="s">
        <v>65</v>
      </c>
      <c r="C432" s="1">
        <v>42843</v>
      </c>
      <c r="D432" t="s">
        <v>219</v>
      </c>
      <c r="E432" t="s">
        <v>109</v>
      </c>
      <c r="F432" t="s">
        <v>110</v>
      </c>
      <c r="G432" t="s">
        <v>0</v>
      </c>
      <c r="H432" t="s">
        <v>1</v>
      </c>
      <c r="I432" t="s">
        <v>2</v>
      </c>
      <c r="J432" t="s">
        <v>911</v>
      </c>
      <c r="K432" t="s">
        <v>524</v>
      </c>
      <c r="L432" t="s">
        <v>140</v>
      </c>
      <c r="M432" t="s">
        <v>9</v>
      </c>
    </row>
    <row r="433" spans="1:13">
      <c r="A433" s="2">
        <v>45362</v>
      </c>
      <c r="B433" t="s">
        <v>65</v>
      </c>
      <c r="C433" s="1">
        <v>42843</v>
      </c>
      <c r="D433" t="s">
        <v>219</v>
      </c>
      <c r="E433" t="s">
        <v>109</v>
      </c>
      <c r="F433" t="s">
        <v>110</v>
      </c>
      <c r="G433" t="s">
        <v>0</v>
      </c>
      <c r="H433" t="s">
        <v>1</v>
      </c>
      <c r="I433" t="s">
        <v>2</v>
      </c>
      <c r="J433" t="s">
        <v>911</v>
      </c>
      <c r="K433" t="s">
        <v>525</v>
      </c>
      <c r="L433" t="s">
        <v>140</v>
      </c>
      <c r="M433" t="s">
        <v>9</v>
      </c>
    </row>
    <row r="434" spans="1:13">
      <c r="A434" s="2">
        <v>45364</v>
      </c>
      <c r="B434" t="s">
        <v>212</v>
      </c>
      <c r="C434" s="1">
        <v>42828</v>
      </c>
      <c r="D434" t="s">
        <v>526</v>
      </c>
      <c r="E434" t="s">
        <v>109</v>
      </c>
      <c r="F434" t="s">
        <v>110</v>
      </c>
      <c r="G434" t="s">
        <v>0</v>
      </c>
      <c r="H434" t="s">
        <v>1</v>
      </c>
      <c r="I434" t="s">
        <v>2</v>
      </c>
      <c r="J434" t="s">
        <v>911</v>
      </c>
      <c r="K434" t="s">
        <v>527</v>
      </c>
      <c r="L434" t="s">
        <v>140</v>
      </c>
      <c r="M434" t="s">
        <v>9</v>
      </c>
    </row>
    <row r="435" spans="1:13">
      <c r="A435" s="2">
        <v>45367</v>
      </c>
      <c r="B435" t="s">
        <v>212</v>
      </c>
      <c r="C435" s="1">
        <v>42843</v>
      </c>
      <c r="D435" t="s">
        <v>260</v>
      </c>
      <c r="E435" t="s">
        <v>109</v>
      </c>
      <c r="F435" t="s">
        <v>110</v>
      </c>
      <c r="G435" t="s">
        <v>0</v>
      </c>
      <c r="H435" t="s">
        <v>1</v>
      </c>
      <c r="I435" t="s">
        <v>2</v>
      </c>
      <c r="J435" t="s">
        <v>911</v>
      </c>
      <c r="K435" t="s">
        <v>528</v>
      </c>
      <c r="L435" t="s">
        <v>140</v>
      </c>
      <c r="M435" t="s">
        <v>9</v>
      </c>
    </row>
    <row r="436" spans="1:13">
      <c r="A436" s="2">
        <v>45374</v>
      </c>
      <c r="B436" t="s">
        <v>65</v>
      </c>
      <c r="C436" s="1">
        <v>42843</v>
      </c>
      <c r="D436" t="s">
        <v>219</v>
      </c>
      <c r="E436" t="s">
        <v>109</v>
      </c>
      <c r="F436" t="s">
        <v>110</v>
      </c>
      <c r="G436" t="s">
        <v>0</v>
      </c>
      <c r="H436" t="s">
        <v>1</v>
      </c>
      <c r="I436" t="s">
        <v>2</v>
      </c>
      <c r="J436" t="s">
        <v>911</v>
      </c>
      <c r="K436" t="s">
        <v>529</v>
      </c>
      <c r="L436" t="s">
        <v>140</v>
      </c>
      <c r="M436" t="s">
        <v>9</v>
      </c>
    </row>
    <row r="437" spans="1:13">
      <c r="A437" s="2">
        <v>46223</v>
      </c>
      <c r="B437" t="s">
        <v>212</v>
      </c>
      <c r="C437" s="1">
        <v>42864</v>
      </c>
      <c r="D437" t="s">
        <v>530</v>
      </c>
      <c r="E437" t="s">
        <v>109</v>
      </c>
      <c r="F437" t="s">
        <v>110</v>
      </c>
      <c r="G437" t="s">
        <v>0</v>
      </c>
      <c r="H437" t="s">
        <v>1</v>
      </c>
      <c r="I437" t="s">
        <v>2</v>
      </c>
      <c r="J437" t="s">
        <v>911</v>
      </c>
      <c r="K437" t="s">
        <v>531</v>
      </c>
      <c r="L437" t="s">
        <v>105</v>
      </c>
      <c r="M437" t="s">
        <v>9</v>
      </c>
    </row>
    <row r="438" spans="1:13">
      <c r="A438" s="2">
        <v>46226</v>
      </c>
      <c r="B438" t="s">
        <v>65</v>
      </c>
      <c r="C438" s="1">
        <v>42864</v>
      </c>
      <c r="D438" t="s">
        <v>343</v>
      </c>
      <c r="E438" t="s">
        <v>109</v>
      </c>
      <c r="F438" t="s">
        <v>110</v>
      </c>
      <c r="G438" t="s">
        <v>0</v>
      </c>
      <c r="H438" t="s">
        <v>1</v>
      </c>
      <c r="I438" t="s">
        <v>2</v>
      </c>
      <c r="J438" t="s">
        <v>911</v>
      </c>
      <c r="K438" t="s">
        <v>532</v>
      </c>
      <c r="L438" t="s">
        <v>105</v>
      </c>
      <c r="M438" t="s">
        <v>9</v>
      </c>
    </row>
    <row r="439" spans="1:13">
      <c r="A439" s="2">
        <v>46228</v>
      </c>
      <c r="B439" t="s">
        <v>65</v>
      </c>
      <c r="C439" s="1">
        <v>42864</v>
      </c>
      <c r="D439" t="s">
        <v>343</v>
      </c>
      <c r="E439" t="s">
        <v>109</v>
      </c>
      <c r="F439" t="s">
        <v>110</v>
      </c>
      <c r="G439" t="s">
        <v>0</v>
      </c>
      <c r="H439" t="s">
        <v>1</v>
      </c>
      <c r="I439" t="s">
        <v>2</v>
      </c>
      <c r="J439" t="s">
        <v>911</v>
      </c>
      <c r="K439" t="s">
        <v>533</v>
      </c>
      <c r="L439" t="s">
        <v>105</v>
      </c>
      <c r="M439" t="s">
        <v>9</v>
      </c>
    </row>
    <row r="440" spans="1:13">
      <c r="A440" s="2">
        <v>46235</v>
      </c>
      <c r="B440" t="s">
        <v>65</v>
      </c>
      <c r="C440" s="1">
        <v>42864</v>
      </c>
      <c r="D440" t="s">
        <v>343</v>
      </c>
      <c r="E440" t="s">
        <v>109</v>
      </c>
      <c r="F440" t="s">
        <v>110</v>
      </c>
      <c r="G440" t="s">
        <v>0</v>
      </c>
      <c r="H440" t="s">
        <v>1</v>
      </c>
      <c r="I440" t="s">
        <v>2</v>
      </c>
      <c r="J440" t="s">
        <v>911</v>
      </c>
      <c r="K440" t="s">
        <v>534</v>
      </c>
      <c r="L440" t="s">
        <v>105</v>
      </c>
      <c r="M440" t="s">
        <v>9</v>
      </c>
    </row>
    <row r="441" spans="1:13">
      <c r="A441" s="2">
        <v>46237</v>
      </c>
      <c r="B441" t="s">
        <v>65</v>
      </c>
      <c r="C441" s="1">
        <v>42864</v>
      </c>
      <c r="D441" t="s">
        <v>343</v>
      </c>
      <c r="E441" t="s">
        <v>109</v>
      </c>
      <c r="F441" t="s">
        <v>110</v>
      </c>
      <c r="G441" t="s">
        <v>0</v>
      </c>
      <c r="H441" t="s">
        <v>1</v>
      </c>
      <c r="I441" t="s">
        <v>2</v>
      </c>
      <c r="J441" t="s">
        <v>911</v>
      </c>
      <c r="K441" t="s">
        <v>535</v>
      </c>
      <c r="L441" t="s">
        <v>105</v>
      </c>
      <c r="M441" t="s">
        <v>9</v>
      </c>
    </row>
    <row r="442" spans="1:13">
      <c r="A442" s="2">
        <v>46239</v>
      </c>
      <c r="B442" t="s">
        <v>65</v>
      </c>
      <c r="C442" s="1">
        <v>42864</v>
      </c>
      <c r="D442" t="s">
        <v>343</v>
      </c>
      <c r="E442" t="s">
        <v>109</v>
      </c>
      <c r="F442" t="s">
        <v>110</v>
      </c>
      <c r="G442" t="s">
        <v>0</v>
      </c>
      <c r="H442" t="s">
        <v>1</v>
      </c>
      <c r="I442" t="s">
        <v>2</v>
      </c>
      <c r="J442" t="s">
        <v>911</v>
      </c>
      <c r="K442" t="s">
        <v>536</v>
      </c>
      <c r="L442" t="s">
        <v>105</v>
      </c>
      <c r="M442" t="s">
        <v>9</v>
      </c>
    </row>
    <row r="443" spans="1:13">
      <c r="A443" s="2">
        <v>46242</v>
      </c>
      <c r="B443" t="s">
        <v>86</v>
      </c>
      <c r="C443" s="1">
        <v>42864</v>
      </c>
      <c r="D443" t="s">
        <v>537</v>
      </c>
      <c r="E443" t="s">
        <v>109</v>
      </c>
      <c r="F443" t="s">
        <v>110</v>
      </c>
      <c r="G443" t="s">
        <v>0</v>
      </c>
      <c r="H443" t="s">
        <v>1</v>
      </c>
      <c r="I443" t="s">
        <v>2</v>
      </c>
      <c r="J443" t="s">
        <v>911</v>
      </c>
      <c r="K443" t="s">
        <v>538</v>
      </c>
      <c r="L443" t="s">
        <v>105</v>
      </c>
      <c r="M443" t="s">
        <v>9</v>
      </c>
    </row>
    <row r="444" spans="1:13">
      <c r="A444" s="2">
        <v>50938</v>
      </c>
      <c r="B444" t="s">
        <v>212</v>
      </c>
      <c r="C444" s="1">
        <v>42864</v>
      </c>
      <c r="D444" t="s">
        <v>364</v>
      </c>
      <c r="E444" t="s">
        <v>109</v>
      </c>
      <c r="F444" t="s">
        <v>110</v>
      </c>
      <c r="G444" t="s">
        <v>0</v>
      </c>
      <c r="H444" t="s">
        <v>1</v>
      </c>
      <c r="I444" t="s">
        <v>2</v>
      </c>
      <c r="J444" t="s">
        <v>911</v>
      </c>
      <c r="K444" t="s">
        <v>549</v>
      </c>
      <c r="L444" t="s">
        <v>105</v>
      </c>
      <c r="M444" t="s">
        <v>9</v>
      </c>
    </row>
    <row r="445" spans="1:13">
      <c r="A445" s="2">
        <v>94082</v>
      </c>
      <c r="B445" t="s">
        <v>65</v>
      </c>
      <c r="C445" s="1">
        <v>42864</v>
      </c>
      <c r="D445" t="s">
        <v>600</v>
      </c>
      <c r="E445" t="s">
        <v>109</v>
      </c>
      <c r="F445" t="s">
        <v>110</v>
      </c>
      <c r="G445" t="s">
        <v>0</v>
      </c>
      <c r="H445" t="s">
        <v>1</v>
      </c>
      <c r="I445" t="s">
        <v>2</v>
      </c>
      <c r="J445" t="s">
        <v>911</v>
      </c>
      <c r="K445" t="s">
        <v>601</v>
      </c>
      <c r="L445" t="s">
        <v>153</v>
      </c>
      <c r="M445" t="s">
        <v>9</v>
      </c>
    </row>
    <row r="446" spans="1:13">
      <c r="A446" s="2">
        <v>135112</v>
      </c>
      <c r="B446" t="s">
        <v>65</v>
      </c>
      <c r="C446" s="1">
        <v>42843</v>
      </c>
      <c r="D446" t="s">
        <v>219</v>
      </c>
      <c r="E446" t="s">
        <v>109</v>
      </c>
      <c r="F446" t="s">
        <v>110</v>
      </c>
      <c r="G446" t="s">
        <v>0</v>
      </c>
      <c r="H446" t="s">
        <v>1</v>
      </c>
      <c r="I446" t="s">
        <v>2</v>
      </c>
      <c r="J446" t="s">
        <v>911</v>
      </c>
      <c r="K446" t="s">
        <v>680</v>
      </c>
      <c r="L446" t="s">
        <v>143</v>
      </c>
      <c r="M446" t="s">
        <v>9</v>
      </c>
    </row>
    <row r="447" spans="1:13">
      <c r="A447" s="2">
        <v>136532</v>
      </c>
      <c r="B447" t="s">
        <v>65</v>
      </c>
      <c r="C447" s="1">
        <v>42828</v>
      </c>
      <c r="D447" t="s">
        <v>681</v>
      </c>
      <c r="E447" t="s">
        <v>109</v>
      </c>
      <c r="F447" t="s">
        <v>110</v>
      </c>
      <c r="G447" t="s">
        <v>0</v>
      </c>
      <c r="H447" t="s">
        <v>1</v>
      </c>
      <c r="I447" t="s">
        <v>2</v>
      </c>
      <c r="J447" t="s">
        <v>911</v>
      </c>
      <c r="K447" t="s">
        <v>682</v>
      </c>
      <c r="L447" t="s">
        <v>165</v>
      </c>
      <c r="M447" t="s">
        <v>9</v>
      </c>
    </row>
    <row r="448" spans="1:13">
      <c r="A448" s="2">
        <v>138060</v>
      </c>
      <c r="B448" t="s">
        <v>212</v>
      </c>
      <c r="C448" s="1">
        <v>42828</v>
      </c>
      <c r="D448" t="s">
        <v>683</v>
      </c>
      <c r="E448" t="s">
        <v>109</v>
      </c>
      <c r="F448" t="s">
        <v>110</v>
      </c>
      <c r="G448" t="s">
        <v>0</v>
      </c>
      <c r="H448" t="s">
        <v>1</v>
      </c>
      <c r="I448" t="s">
        <v>2</v>
      </c>
      <c r="J448" t="s">
        <v>911</v>
      </c>
      <c r="K448" t="s">
        <v>684</v>
      </c>
      <c r="L448" t="s">
        <v>116</v>
      </c>
      <c r="M448" t="s">
        <v>9</v>
      </c>
    </row>
    <row r="449" spans="1:13">
      <c r="A449" s="2">
        <v>138061</v>
      </c>
      <c r="B449" t="s">
        <v>212</v>
      </c>
      <c r="C449" s="1">
        <v>42843</v>
      </c>
      <c r="D449" t="s">
        <v>260</v>
      </c>
      <c r="E449" t="s">
        <v>109</v>
      </c>
      <c r="F449" t="s">
        <v>110</v>
      </c>
      <c r="G449" t="s">
        <v>0</v>
      </c>
      <c r="H449" t="s">
        <v>1</v>
      </c>
      <c r="I449" t="s">
        <v>2</v>
      </c>
      <c r="J449" t="s">
        <v>911</v>
      </c>
      <c r="K449" t="s">
        <v>685</v>
      </c>
      <c r="L449" t="s">
        <v>116</v>
      </c>
      <c r="M449" t="s">
        <v>9</v>
      </c>
    </row>
    <row r="450" spans="1:13">
      <c r="A450" s="2">
        <v>138155</v>
      </c>
      <c r="B450" t="s">
        <v>212</v>
      </c>
      <c r="C450" s="1">
        <v>42864</v>
      </c>
      <c r="D450" t="s">
        <v>364</v>
      </c>
      <c r="E450" t="s">
        <v>109</v>
      </c>
      <c r="F450" t="s">
        <v>110</v>
      </c>
      <c r="G450" t="s">
        <v>0</v>
      </c>
      <c r="H450" t="s">
        <v>1</v>
      </c>
      <c r="I450" t="s">
        <v>2</v>
      </c>
      <c r="J450" t="s">
        <v>911</v>
      </c>
      <c r="K450" t="s">
        <v>686</v>
      </c>
      <c r="L450" t="s">
        <v>153</v>
      </c>
      <c r="M450" t="s">
        <v>9</v>
      </c>
    </row>
    <row r="451" spans="1:13">
      <c r="A451" s="2">
        <v>138158</v>
      </c>
      <c r="B451" t="s">
        <v>65</v>
      </c>
      <c r="C451" s="1">
        <v>42864</v>
      </c>
      <c r="D451" t="s">
        <v>343</v>
      </c>
      <c r="E451" t="s">
        <v>109</v>
      </c>
      <c r="F451" t="s">
        <v>110</v>
      </c>
      <c r="G451" t="s">
        <v>0</v>
      </c>
      <c r="H451" t="s">
        <v>1</v>
      </c>
      <c r="I451" t="s">
        <v>2</v>
      </c>
      <c r="J451" t="s">
        <v>911</v>
      </c>
      <c r="K451" t="s">
        <v>687</v>
      </c>
      <c r="L451" t="s">
        <v>105</v>
      </c>
      <c r="M451" t="s">
        <v>9</v>
      </c>
    </row>
    <row r="452" spans="1:13">
      <c r="A452" s="2">
        <v>138161</v>
      </c>
      <c r="B452" t="s">
        <v>65</v>
      </c>
      <c r="C452" s="1">
        <v>42864</v>
      </c>
      <c r="D452" t="s">
        <v>343</v>
      </c>
      <c r="E452" t="s">
        <v>109</v>
      </c>
      <c r="F452" t="s">
        <v>110</v>
      </c>
      <c r="G452" t="s">
        <v>0</v>
      </c>
      <c r="H452" t="s">
        <v>1</v>
      </c>
      <c r="I452" t="s">
        <v>2</v>
      </c>
      <c r="J452" t="s">
        <v>911</v>
      </c>
      <c r="K452" t="s">
        <v>688</v>
      </c>
      <c r="L452" t="s">
        <v>105</v>
      </c>
      <c r="M452" t="s">
        <v>9</v>
      </c>
    </row>
    <row r="453" spans="1:13">
      <c r="A453" s="2">
        <v>138843</v>
      </c>
      <c r="B453" t="s">
        <v>65</v>
      </c>
      <c r="C453" s="1">
        <v>42843</v>
      </c>
      <c r="D453" t="s">
        <v>219</v>
      </c>
      <c r="E453" t="s">
        <v>109</v>
      </c>
      <c r="F453" t="s">
        <v>110</v>
      </c>
      <c r="G453" t="s">
        <v>0</v>
      </c>
      <c r="H453" t="s">
        <v>1</v>
      </c>
      <c r="I453" t="s">
        <v>2</v>
      </c>
      <c r="J453" t="s">
        <v>911</v>
      </c>
      <c r="K453" t="s">
        <v>696</v>
      </c>
      <c r="L453" t="s">
        <v>143</v>
      </c>
      <c r="M453" t="s">
        <v>9</v>
      </c>
    </row>
    <row r="454" spans="1:13">
      <c r="A454" s="2">
        <v>139104</v>
      </c>
      <c r="B454" t="s">
        <v>65</v>
      </c>
      <c r="C454" s="1">
        <v>42843</v>
      </c>
      <c r="D454" t="s">
        <v>219</v>
      </c>
      <c r="E454" t="s">
        <v>109</v>
      </c>
      <c r="F454" t="s">
        <v>110</v>
      </c>
      <c r="G454" t="s">
        <v>0</v>
      </c>
      <c r="H454" t="s">
        <v>1</v>
      </c>
      <c r="I454" t="s">
        <v>2</v>
      </c>
      <c r="J454" t="s">
        <v>911</v>
      </c>
      <c r="K454" t="s">
        <v>697</v>
      </c>
      <c r="L454" t="s">
        <v>93</v>
      </c>
      <c r="M454" t="s">
        <v>9</v>
      </c>
    </row>
    <row r="455" spans="1:13">
      <c r="A455" s="2">
        <v>139108</v>
      </c>
      <c r="B455" t="s">
        <v>65</v>
      </c>
      <c r="C455" s="1">
        <v>42828</v>
      </c>
      <c r="D455" t="s">
        <v>698</v>
      </c>
      <c r="E455" t="s">
        <v>109</v>
      </c>
      <c r="F455" t="s">
        <v>110</v>
      </c>
      <c r="G455" t="s">
        <v>0</v>
      </c>
      <c r="H455" t="s">
        <v>1</v>
      </c>
      <c r="I455" t="s">
        <v>2</v>
      </c>
      <c r="J455" t="s">
        <v>911</v>
      </c>
      <c r="K455" t="s">
        <v>699</v>
      </c>
      <c r="L455" t="s">
        <v>93</v>
      </c>
      <c r="M455" t="s">
        <v>9</v>
      </c>
    </row>
    <row r="456" spans="1:13">
      <c r="A456" s="2">
        <v>139109</v>
      </c>
      <c r="B456" t="s">
        <v>65</v>
      </c>
      <c r="C456" s="1">
        <v>42843</v>
      </c>
      <c r="D456" t="s">
        <v>219</v>
      </c>
      <c r="E456" t="s">
        <v>109</v>
      </c>
      <c r="F456" t="s">
        <v>110</v>
      </c>
      <c r="G456" t="s">
        <v>0</v>
      </c>
      <c r="H456" t="s">
        <v>1</v>
      </c>
      <c r="I456" t="s">
        <v>2</v>
      </c>
      <c r="J456" t="s">
        <v>911</v>
      </c>
      <c r="K456" t="s">
        <v>700</v>
      </c>
      <c r="L456" t="s">
        <v>93</v>
      </c>
      <c r="M456" t="s">
        <v>9</v>
      </c>
    </row>
    <row r="457" spans="1:13">
      <c r="A457" s="2">
        <v>139110</v>
      </c>
      <c r="B457" t="s">
        <v>65</v>
      </c>
      <c r="C457" s="1">
        <v>42843</v>
      </c>
      <c r="D457" t="s">
        <v>219</v>
      </c>
      <c r="E457" t="s">
        <v>109</v>
      </c>
      <c r="F457" t="s">
        <v>110</v>
      </c>
      <c r="G457" t="s">
        <v>0</v>
      </c>
      <c r="H457" t="s">
        <v>1</v>
      </c>
      <c r="I457" t="s">
        <v>2</v>
      </c>
      <c r="J457" t="s">
        <v>911</v>
      </c>
      <c r="K457" t="s">
        <v>701</v>
      </c>
      <c r="L457" t="s">
        <v>93</v>
      </c>
      <c r="M457" t="s">
        <v>9</v>
      </c>
    </row>
    <row r="458" spans="1:13">
      <c r="A458" s="2">
        <v>139228</v>
      </c>
      <c r="B458" t="s">
        <v>65</v>
      </c>
      <c r="C458" s="1">
        <v>42843</v>
      </c>
      <c r="D458" t="s">
        <v>219</v>
      </c>
      <c r="E458" t="s">
        <v>109</v>
      </c>
      <c r="F458" t="s">
        <v>110</v>
      </c>
      <c r="G458" t="s">
        <v>0</v>
      </c>
      <c r="H458" t="s">
        <v>1</v>
      </c>
      <c r="I458" t="s">
        <v>2</v>
      </c>
      <c r="J458" t="s">
        <v>911</v>
      </c>
      <c r="K458" t="s">
        <v>702</v>
      </c>
      <c r="L458" t="s">
        <v>140</v>
      </c>
      <c r="M458" t="s">
        <v>9</v>
      </c>
    </row>
    <row r="459" spans="1:13">
      <c r="A459" s="2">
        <v>139236</v>
      </c>
      <c r="B459" t="s">
        <v>212</v>
      </c>
      <c r="C459" s="1">
        <v>42843</v>
      </c>
      <c r="D459" t="s">
        <v>260</v>
      </c>
      <c r="E459" t="s">
        <v>109</v>
      </c>
      <c r="F459" t="s">
        <v>110</v>
      </c>
      <c r="G459" t="s">
        <v>0</v>
      </c>
      <c r="H459" t="s">
        <v>1</v>
      </c>
      <c r="I459" t="s">
        <v>2</v>
      </c>
      <c r="J459" t="s">
        <v>911</v>
      </c>
      <c r="K459" t="s">
        <v>703</v>
      </c>
      <c r="L459" t="s">
        <v>140</v>
      </c>
      <c r="M459" t="s">
        <v>9</v>
      </c>
    </row>
    <row r="460" spans="1:13">
      <c r="A460" s="2">
        <v>162804</v>
      </c>
      <c r="B460" t="s">
        <v>212</v>
      </c>
      <c r="C460" s="1">
        <v>42828</v>
      </c>
      <c r="D460" t="s">
        <v>718</v>
      </c>
      <c r="E460" t="s">
        <v>109</v>
      </c>
      <c r="F460" t="s">
        <v>110</v>
      </c>
      <c r="G460" t="s">
        <v>0</v>
      </c>
      <c r="H460" t="s">
        <v>1</v>
      </c>
      <c r="I460" t="s">
        <v>2</v>
      </c>
      <c r="J460" t="s">
        <v>911</v>
      </c>
      <c r="K460" t="s">
        <v>719</v>
      </c>
      <c r="L460" t="s">
        <v>165</v>
      </c>
      <c r="M460" t="s">
        <v>9</v>
      </c>
    </row>
    <row r="461" spans="1:13">
      <c r="A461" s="2">
        <v>177672</v>
      </c>
      <c r="B461" t="s">
        <v>3</v>
      </c>
      <c r="C461" s="1">
        <v>42828</v>
      </c>
      <c r="D461" t="s">
        <v>735</v>
      </c>
      <c r="E461" t="s">
        <v>109</v>
      </c>
      <c r="F461" t="s">
        <v>110</v>
      </c>
      <c r="G461" t="s">
        <v>0</v>
      </c>
      <c r="H461" t="s">
        <v>1</v>
      </c>
      <c r="I461" t="s">
        <v>2</v>
      </c>
      <c r="J461" t="s">
        <v>911</v>
      </c>
      <c r="K461" t="s">
        <v>736</v>
      </c>
      <c r="L461" t="s">
        <v>165</v>
      </c>
      <c r="M461" t="s">
        <v>9</v>
      </c>
    </row>
    <row r="462" spans="1:13">
      <c r="A462" s="2">
        <v>177868</v>
      </c>
      <c r="B462" t="s">
        <v>3</v>
      </c>
      <c r="C462" s="1">
        <v>42864</v>
      </c>
      <c r="D462" t="s">
        <v>210</v>
      </c>
      <c r="E462" t="s">
        <v>102</v>
      </c>
      <c r="F462" t="s">
        <v>103</v>
      </c>
      <c r="G462" t="s">
        <v>0</v>
      </c>
      <c r="H462" t="s">
        <v>1</v>
      </c>
      <c r="I462" t="s">
        <v>2</v>
      </c>
      <c r="J462" t="s">
        <v>911</v>
      </c>
      <c r="K462" t="s">
        <v>747</v>
      </c>
      <c r="L462" t="s">
        <v>105</v>
      </c>
      <c r="M462" t="s">
        <v>9</v>
      </c>
    </row>
    <row r="463" spans="1:13">
      <c r="A463" s="2">
        <v>177969</v>
      </c>
      <c r="B463" t="s">
        <v>65</v>
      </c>
      <c r="C463" s="1">
        <v>42864</v>
      </c>
      <c r="D463" t="s">
        <v>343</v>
      </c>
      <c r="E463" t="s">
        <v>109</v>
      </c>
      <c r="F463" t="s">
        <v>110</v>
      </c>
      <c r="G463" t="s">
        <v>0</v>
      </c>
      <c r="H463" t="s">
        <v>1</v>
      </c>
      <c r="I463" t="s">
        <v>2</v>
      </c>
      <c r="J463" t="s">
        <v>911</v>
      </c>
      <c r="K463" t="s">
        <v>748</v>
      </c>
      <c r="L463" t="s">
        <v>105</v>
      </c>
      <c r="M463" t="s">
        <v>9</v>
      </c>
    </row>
    <row r="464" spans="1:13">
      <c r="A464" s="2">
        <v>178109</v>
      </c>
      <c r="B464" t="s">
        <v>65</v>
      </c>
      <c r="C464" s="1">
        <v>42843</v>
      </c>
      <c r="D464" t="s">
        <v>219</v>
      </c>
      <c r="E464" t="s">
        <v>109</v>
      </c>
      <c r="F464" t="s">
        <v>110</v>
      </c>
      <c r="G464" t="s">
        <v>0</v>
      </c>
      <c r="H464" t="s">
        <v>1</v>
      </c>
      <c r="I464" t="s">
        <v>2</v>
      </c>
      <c r="J464" t="s">
        <v>911</v>
      </c>
      <c r="K464" t="s">
        <v>749</v>
      </c>
      <c r="L464" t="s">
        <v>143</v>
      </c>
      <c r="M464" t="s">
        <v>9</v>
      </c>
    </row>
    <row r="465" spans="1:13">
      <c r="A465" s="2">
        <v>178666</v>
      </c>
      <c r="B465" t="s">
        <v>65</v>
      </c>
      <c r="C465" s="1">
        <v>42828</v>
      </c>
      <c r="D465" t="s">
        <v>754</v>
      </c>
      <c r="E465" t="s">
        <v>109</v>
      </c>
      <c r="F465" t="s">
        <v>110</v>
      </c>
      <c r="G465" t="s">
        <v>0</v>
      </c>
      <c r="H465" t="s">
        <v>1</v>
      </c>
      <c r="I465" t="s">
        <v>2</v>
      </c>
      <c r="J465" t="s">
        <v>911</v>
      </c>
      <c r="K465" t="s">
        <v>755</v>
      </c>
      <c r="L465" t="s">
        <v>158</v>
      </c>
      <c r="M465" t="s">
        <v>9</v>
      </c>
    </row>
    <row r="466" spans="1:13">
      <c r="A466" s="2">
        <v>180905</v>
      </c>
      <c r="B466" t="s">
        <v>212</v>
      </c>
      <c r="C466" s="1">
        <v>42864</v>
      </c>
      <c r="D466" t="s">
        <v>364</v>
      </c>
      <c r="E466" t="s">
        <v>109</v>
      </c>
      <c r="F466" t="s">
        <v>110</v>
      </c>
      <c r="G466" t="s">
        <v>0</v>
      </c>
      <c r="H466" t="s">
        <v>1</v>
      </c>
      <c r="I466" t="s">
        <v>2</v>
      </c>
      <c r="J466" t="s">
        <v>911</v>
      </c>
      <c r="K466" t="s">
        <v>760</v>
      </c>
      <c r="L466" t="s">
        <v>105</v>
      </c>
      <c r="M466" t="s">
        <v>9</v>
      </c>
    </row>
    <row r="467" spans="1:13">
      <c r="A467" s="2">
        <v>181509</v>
      </c>
      <c r="B467" t="s">
        <v>65</v>
      </c>
      <c r="C467" s="1">
        <v>42843</v>
      </c>
      <c r="D467" t="s">
        <v>219</v>
      </c>
      <c r="E467" t="s">
        <v>109</v>
      </c>
      <c r="F467" t="s">
        <v>110</v>
      </c>
      <c r="G467" t="s">
        <v>0</v>
      </c>
      <c r="H467" t="s">
        <v>1</v>
      </c>
      <c r="I467" t="s">
        <v>2</v>
      </c>
      <c r="J467" t="s">
        <v>911</v>
      </c>
      <c r="K467" t="s">
        <v>761</v>
      </c>
      <c r="L467" t="s">
        <v>158</v>
      </c>
      <c r="M467" t="s">
        <v>9</v>
      </c>
    </row>
    <row r="468" spans="1:13">
      <c r="A468" s="2">
        <v>181526</v>
      </c>
      <c r="B468" t="s">
        <v>212</v>
      </c>
      <c r="C468" s="1">
        <v>42843</v>
      </c>
      <c r="D468" t="s">
        <v>260</v>
      </c>
      <c r="E468" t="s">
        <v>109</v>
      </c>
      <c r="F468" t="s">
        <v>110</v>
      </c>
      <c r="G468" t="s">
        <v>0</v>
      </c>
      <c r="H468" t="s">
        <v>1</v>
      </c>
      <c r="I468" t="s">
        <v>2</v>
      </c>
      <c r="J468" t="s">
        <v>911</v>
      </c>
      <c r="K468" t="s">
        <v>762</v>
      </c>
      <c r="L468" t="s">
        <v>93</v>
      </c>
      <c r="M468" t="s">
        <v>9</v>
      </c>
    </row>
    <row r="469" spans="1:13">
      <c r="A469" s="2">
        <v>181528</v>
      </c>
      <c r="B469" t="s">
        <v>86</v>
      </c>
      <c r="C469" s="1">
        <v>42828</v>
      </c>
      <c r="D469" t="s">
        <v>763</v>
      </c>
      <c r="E469" t="s">
        <v>109</v>
      </c>
      <c r="F469" t="s">
        <v>110</v>
      </c>
      <c r="G469" t="s">
        <v>0</v>
      </c>
      <c r="H469" t="s">
        <v>1</v>
      </c>
      <c r="I469" t="s">
        <v>2</v>
      </c>
      <c r="J469" t="s">
        <v>911</v>
      </c>
      <c r="K469" t="s">
        <v>764</v>
      </c>
      <c r="L469" t="s">
        <v>93</v>
      </c>
      <c r="M469" t="s">
        <v>9</v>
      </c>
    </row>
    <row r="470" spans="1:13">
      <c r="A470" s="2">
        <v>181766</v>
      </c>
      <c r="B470" t="s">
        <v>65</v>
      </c>
      <c r="C470" s="1">
        <v>42843</v>
      </c>
      <c r="D470" t="s">
        <v>219</v>
      </c>
      <c r="E470" t="s">
        <v>109</v>
      </c>
      <c r="F470" t="s">
        <v>110</v>
      </c>
      <c r="G470" t="s">
        <v>0</v>
      </c>
      <c r="H470" t="s">
        <v>1</v>
      </c>
      <c r="I470" t="s">
        <v>2</v>
      </c>
      <c r="J470" t="s">
        <v>911</v>
      </c>
      <c r="K470" t="s">
        <v>765</v>
      </c>
      <c r="L470" t="s">
        <v>143</v>
      </c>
      <c r="M470" t="s">
        <v>9</v>
      </c>
    </row>
    <row r="471" spans="1:13">
      <c r="A471" s="2">
        <v>197778</v>
      </c>
      <c r="B471" t="s">
        <v>212</v>
      </c>
      <c r="C471" s="1">
        <v>42843</v>
      </c>
      <c r="D471" t="s">
        <v>260</v>
      </c>
      <c r="E471" t="s">
        <v>109</v>
      </c>
      <c r="F471" t="s">
        <v>110</v>
      </c>
      <c r="G471" t="s">
        <v>0</v>
      </c>
      <c r="H471" t="s">
        <v>1</v>
      </c>
      <c r="I471" t="s">
        <v>2</v>
      </c>
      <c r="J471" t="s">
        <v>911</v>
      </c>
      <c r="K471" t="s">
        <v>803</v>
      </c>
      <c r="L471" t="s">
        <v>140</v>
      </c>
      <c r="M471" t="s">
        <v>9</v>
      </c>
    </row>
    <row r="472" spans="1:13">
      <c r="A472" s="2">
        <v>222076</v>
      </c>
      <c r="B472" t="s">
        <v>212</v>
      </c>
      <c r="C472" s="1">
        <v>42843</v>
      </c>
      <c r="D472" t="s">
        <v>260</v>
      </c>
      <c r="E472" t="s">
        <v>109</v>
      </c>
      <c r="F472" t="s">
        <v>110</v>
      </c>
      <c r="G472" t="s">
        <v>0</v>
      </c>
      <c r="H472" t="s">
        <v>1</v>
      </c>
      <c r="I472" t="s">
        <v>2</v>
      </c>
      <c r="J472" t="s">
        <v>911</v>
      </c>
      <c r="K472" t="s">
        <v>808</v>
      </c>
      <c r="L472" t="s">
        <v>131</v>
      </c>
      <c r="M472" t="s">
        <v>9</v>
      </c>
    </row>
    <row r="473" spans="1:13">
      <c r="A473" s="2">
        <v>259747</v>
      </c>
      <c r="B473" t="s">
        <v>65</v>
      </c>
      <c r="C473" s="1">
        <v>42843</v>
      </c>
      <c r="D473" t="s">
        <v>219</v>
      </c>
      <c r="E473" t="s">
        <v>109</v>
      </c>
      <c r="F473" t="s">
        <v>110</v>
      </c>
      <c r="G473" t="s">
        <v>0</v>
      </c>
      <c r="H473" t="s">
        <v>1</v>
      </c>
      <c r="I473" t="s">
        <v>2</v>
      </c>
      <c r="J473" t="s">
        <v>911</v>
      </c>
      <c r="K473" t="s">
        <v>820</v>
      </c>
      <c r="L473" t="s">
        <v>131</v>
      </c>
      <c r="M473" t="s">
        <v>9</v>
      </c>
    </row>
    <row r="474" spans="1:13">
      <c r="A474" s="2">
        <v>261928</v>
      </c>
      <c r="B474" t="s">
        <v>65</v>
      </c>
      <c r="C474" s="1">
        <v>42864</v>
      </c>
      <c r="D474" t="s">
        <v>343</v>
      </c>
      <c r="E474" t="s">
        <v>109</v>
      </c>
      <c r="F474" t="s">
        <v>110</v>
      </c>
      <c r="G474" t="s">
        <v>0</v>
      </c>
      <c r="H474" t="s">
        <v>1</v>
      </c>
      <c r="I474" t="s">
        <v>2</v>
      </c>
      <c r="J474" t="s">
        <v>911</v>
      </c>
      <c r="K474" t="s">
        <v>821</v>
      </c>
      <c r="L474" t="s">
        <v>105</v>
      </c>
      <c r="M474" t="s">
        <v>9</v>
      </c>
    </row>
    <row r="475" spans="1:13">
      <c r="A475" s="2">
        <v>285438</v>
      </c>
      <c r="B475" t="s">
        <v>65</v>
      </c>
      <c r="C475" s="1">
        <v>42843</v>
      </c>
      <c r="D475" t="s">
        <v>219</v>
      </c>
      <c r="E475" t="s">
        <v>109</v>
      </c>
      <c r="F475" t="s">
        <v>110</v>
      </c>
      <c r="G475" t="s">
        <v>0</v>
      </c>
      <c r="H475" t="s">
        <v>1</v>
      </c>
      <c r="I475" t="s">
        <v>2</v>
      </c>
      <c r="J475" t="s">
        <v>911</v>
      </c>
      <c r="K475" t="s">
        <v>826</v>
      </c>
      <c r="L475" t="s">
        <v>158</v>
      </c>
      <c r="M475" t="s">
        <v>9</v>
      </c>
    </row>
    <row r="476" spans="1:13">
      <c r="A476" s="2">
        <v>307226</v>
      </c>
      <c r="B476" t="s">
        <v>65</v>
      </c>
      <c r="C476" s="1">
        <v>42843</v>
      </c>
      <c r="D476" t="s">
        <v>219</v>
      </c>
      <c r="E476" t="s">
        <v>109</v>
      </c>
      <c r="F476" t="s">
        <v>110</v>
      </c>
      <c r="G476" t="s">
        <v>0</v>
      </c>
      <c r="H476" t="s">
        <v>1</v>
      </c>
      <c r="I476" t="s">
        <v>2</v>
      </c>
      <c r="J476" t="s">
        <v>911</v>
      </c>
      <c r="K476" t="s">
        <v>829</v>
      </c>
      <c r="L476" t="s">
        <v>143</v>
      </c>
      <c r="M476" t="s">
        <v>9</v>
      </c>
    </row>
    <row r="477" spans="1:13">
      <c r="A477" s="2">
        <v>343103</v>
      </c>
      <c r="B477" t="s">
        <v>212</v>
      </c>
      <c r="C477" s="1">
        <v>42843</v>
      </c>
      <c r="D477" t="s">
        <v>260</v>
      </c>
      <c r="E477" t="s">
        <v>109</v>
      </c>
      <c r="F477" t="s">
        <v>110</v>
      </c>
      <c r="G477" t="s">
        <v>0</v>
      </c>
      <c r="H477" t="s">
        <v>1</v>
      </c>
      <c r="I477" t="s">
        <v>2</v>
      </c>
      <c r="J477" t="s">
        <v>911</v>
      </c>
      <c r="K477" t="s">
        <v>830</v>
      </c>
      <c r="L477" t="s">
        <v>158</v>
      </c>
      <c r="M477" t="s">
        <v>9</v>
      </c>
    </row>
    <row r="478" spans="1:13">
      <c r="A478" s="2">
        <v>378108</v>
      </c>
      <c r="B478" t="s">
        <v>212</v>
      </c>
      <c r="C478" s="1">
        <v>42864</v>
      </c>
      <c r="D478" t="s">
        <v>364</v>
      </c>
      <c r="E478" t="s">
        <v>109</v>
      </c>
      <c r="F478" t="s">
        <v>110</v>
      </c>
      <c r="G478" t="s">
        <v>0</v>
      </c>
      <c r="H478" t="s">
        <v>1</v>
      </c>
      <c r="I478" t="s">
        <v>2</v>
      </c>
      <c r="J478" t="s">
        <v>911</v>
      </c>
      <c r="K478" t="s">
        <v>835</v>
      </c>
      <c r="L478" t="s">
        <v>105</v>
      </c>
      <c r="M478" t="s">
        <v>9</v>
      </c>
    </row>
    <row r="479" spans="1:13">
      <c r="A479" s="2">
        <v>378913</v>
      </c>
      <c r="B479" t="s">
        <v>212</v>
      </c>
      <c r="C479" s="1">
        <v>42864</v>
      </c>
      <c r="D479" t="s">
        <v>364</v>
      </c>
      <c r="E479" t="s">
        <v>109</v>
      </c>
      <c r="F479" t="s">
        <v>110</v>
      </c>
      <c r="G479" t="s">
        <v>0</v>
      </c>
      <c r="H479" t="s">
        <v>1</v>
      </c>
      <c r="I479" t="s">
        <v>2</v>
      </c>
      <c r="J479" t="s">
        <v>911</v>
      </c>
      <c r="K479" t="s">
        <v>836</v>
      </c>
      <c r="L479" t="s">
        <v>105</v>
      </c>
      <c r="M479" t="s">
        <v>9</v>
      </c>
    </row>
    <row r="480" spans="1:13">
      <c r="A480" s="2">
        <v>389759</v>
      </c>
      <c r="B480" t="s">
        <v>65</v>
      </c>
      <c r="C480" s="1">
        <v>42864</v>
      </c>
      <c r="D480" t="s">
        <v>343</v>
      </c>
      <c r="E480" t="s">
        <v>109</v>
      </c>
      <c r="F480" t="s">
        <v>110</v>
      </c>
      <c r="G480" t="s">
        <v>0</v>
      </c>
      <c r="H480" t="s">
        <v>1</v>
      </c>
      <c r="I480" t="s">
        <v>2</v>
      </c>
      <c r="J480" t="s">
        <v>911</v>
      </c>
      <c r="K480" t="s">
        <v>837</v>
      </c>
      <c r="L480" t="s">
        <v>153</v>
      </c>
      <c r="M480" t="s">
        <v>9</v>
      </c>
    </row>
    <row r="481" spans="1:13">
      <c r="A481" s="2">
        <v>417225</v>
      </c>
      <c r="B481" t="s">
        <v>65</v>
      </c>
      <c r="C481" s="1">
        <v>42843</v>
      </c>
      <c r="D481" t="s">
        <v>219</v>
      </c>
      <c r="E481" t="s">
        <v>109</v>
      </c>
      <c r="F481" t="s">
        <v>110</v>
      </c>
      <c r="G481" t="s">
        <v>0</v>
      </c>
      <c r="H481" t="s">
        <v>1</v>
      </c>
      <c r="I481" t="s">
        <v>2</v>
      </c>
      <c r="J481" t="s">
        <v>911</v>
      </c>
      <c r="K481" t="s">
        <v>842</v>
      </c>
      <c r="L481" t="s">
        <v>165</v>
      </c>
      <c r="M481" t="s">
        <v>9</v>
      </c>
    </row>
    <row r="482" spans="1:13">
      <c r="A482" s="2">
        <v>436446</v>
      </c>
      <c r="B482" t="s">
        <v>65</v>
      </c>
      <c r="C482" s="1">
        <v>42843</v>
      </c>
      <c r="D482" t="s">
        <v>219</v>
      </c>
      <c r="E482" t="s">
        <v>109</v>
      </c>
      <c r="F482" t="s">
        <v>110</v>
      </c>
      <c r="G482" t="s">
        <v>0</v>
      </c>
      <c r="H482" t="s">
        <v>1</v>
      </c>
      <c r="I482" t="s">
        <v>2</v>
      </c>
      <c r="J482" t="s">
        <v>911</v>
      </c>
      <c r="K482" t="s">
        <v>843</v>
      </c>
      <c r="L482" t="s">
        <v>143</v>
      </c>
      <c r="M482" t="s">
        <v>9</v>
      </c>
    </row>
    <row r="483" spans="1:13">
      <c r="A483" s="2">
        <v>448922</v>
      </c>
      <c r="B483" t="s">
        <v>212</v>
      </c>
      <c r="C483" s="1">
        <v>42843</v>
      </c>
      <c r="D483" t="s">
        <v>260</v>
      </c>
      <c r="E483" t="s">
        <v>109</v>
      </c>
      <c r="F483" t="s">
        <v>110</v>
      </c>
      <c r="G483" t="s">
        <v>0</v>
      </c>
      <c r="H483" t="s">
        <v>1</v>
      </c>
      <c r="I483" t="s">
        <v>2</v>
      </c>
      <c r="J483" t="s">
        <v>911</v>
      </c>
      <c r="K483" t="s">
        <v>848</v>
      </c>
      <c r="L483" t="s">
        <v>143</v>
      </c>
      <c r="M483" t="s">
        <v>9</v>
      </c>
    </row>
    <row r="484" spans="1:13">
      <c r="A484" s="2">
        <v>448923</v>
      </c>
      <c r="B484" t="s">
        <v>65</v>
      </c>
      <c r="C484" s="1">
        <v>42843</v>
      </c>
      <c r="D484" t="s">
        <v>219</v>
      </c>
      <c r="E484" t="s">
        <v>109</v>
      </c>
      <c r="F484" t="s">
        <v>110</v>
      </c>
      <c r="G484" t="s">
        <v>0</v>
      </c>
      <c r="H484" t="s">
        <v>1</v>
      </c>
      <c r="I484" t="s">
        <v>2</v>
      </c>
      <c r="J484" t="s">
        <v>911</v>
      </c>
      <c r="K484" t="s">
        <v>849</v>
      </c>
      <c r="L484" t="s">
        <v>165</v>
      </c>
      <c r="M484" t="s">
        <v>9</v>
      </c>
    </row>
    <row r="485" spans="1:13">
      <c r="A485" s="2">
        <v>448924</v>
      </c>
      <c r="B485" t="s">
        <v>65</v>
      </c>
      <c r="C485" s="1">
        <v>42843</v>
      </c>
      <c r="D485" t="s">
        <v>219</v>
      </c>
      <c r="E485" t="s">
        <v>109</v>
      </c>
      <c r="F485" t="s">
        <v>110</v>
      </c>
      <c r="G485" t="s">
        <v>0</v>
      </c>
      <c r="H485" t="s">
        <v>1</v>
      </c>
      <c r="I485" t="s">
        <v>2</v>
      </c>
      <c r="J485" t="s">
        <v>911</v>
      </c>
      <c r="K485" t="s">
        <v>850</v>
      </c>
      <c r="L485" t="s">
        <v>165</v>
      </c>
      <c r="M485" t="s">
        <v>9</v>
      </c>
    </row>
    <row r="486" spans="1:13">
      <c r="A486" s="2">
        <v>448925</v>
      </c>
      <c r="B486" t="s">
        <v>65</v>
      </c>
      <c r="C486" s="1">
        <v>42843</v>
      </c>
      <c r="D486" t="s">
        <v>219</v>
      </c>
      <c r="E486" t="s">
        <v>109</v>
      </c>
      <c r="F486" t="s">
        <v>110</v>
      </c>
      <c r="G486" t="s">
        <v>0</v>
      </c>
      <c r="H486" t="s">
        <v>1</v>
      </c>
      <c r="I486" t="s">
        <v>2</v>
      </c>
      <c r="J486" t="s">
        <v>911</v>
      </c>
      <c r="K486" t="s">
        <v>851</v>
      </c>
      <c r="L486" t="s">
        <v>165</v>
      </c>
      <c r="M486" t="s">
        <v>9</v>
      </c>
    </row>
    <row r="487" spans="1:13">
      <c r="A487" s="2">
        <v>448926</v>
      </c>
      <c r="B487" t="s">
        <v>65</v>
      </c>
      <c r="C487" s="1">
        <v>42843</v>
      </c>
      <c r="D487" t="s">
        <v>219</v>
      </c>
      <c r="E487" t="s">
        <v>109</v>
      </c>
      <c r="F487" t="s">
        <v>110</v>
      </c>
      <c r="G487" t="s">
        <v>0</v>
      </c>
      <c r="H487" t="s">
        <v>1</v>
      </c>
      <c r="I487" t="s">
        <v>2</v>
      </c>
      <c r="J487" t="s">
        <v>911</v>
      </c>
      <c r="K487" t="s">
        <v>852</v>
      </c>
      <c r="L487" t="s">
        <v>131</v>
      </c>
      <c r="M487" t="s">
        <v>9</v>
      </c>
    </row>
    <row r="488" spans="1:13">
      <c r="A488" s="2">
        <v>448927</v>
      </c>
      <c r="B488" t="s">
        <v>65</v>
      </c>
      <c r="C488" s="1">
        <v>42843</v>
      </c>
      <c r="D488" t="s">
        <v>219</v>
      </c>
      <c r="E488" t="s">
        <v>109</v>
      </c>
      <c r="F488" t="s">
        <v>110</v>
      </c>
      <c r="G488" t="s">
        <v>0</v>
      </c>
      <c r="H488" t="s">
        <v>1</v>
      </c>
      <c r="I488" t="s">
        <v>2</v>
      </c>
      <c r="J488" t="s">
        <v>911</v>
      </c>
      <c r="K488" t="s">
        <v>853</v>
      </c>
      <c r="L488" t="s">
        <v>158</v>
      </c>
      <c r="M488" t="s">
        <v>9</v>
      </c>
    </row>
    <row r="489" spans="1:13">
      <c r="A489" s="2">
        <v>448928</v>
      </c>
      <c r="B489" t="s">
        <v>212</v>
      </c>
      <c r="C489" s="1">
        <v>42843</v>
      </c>
      <c r="D489" t="s">
        <v>260</v>
      </c>
      <c r="E489" t="s">
        <v>109</v>
      </c>
      <c r="F489" t="s">
        <v>110</v>
      </c>
      <c r="G489" t="s">
        <v>0</v>
      </c>
      <c r="H489" t="s">
        <v>1</v>
      </c>
      <c r="I489" t="s">
        <v>2</v>
      </c>
      <c r="J489" t="s">
        <v>911</v>
      </c>
      <c r="K489" t="s">
        <v>854</v>
      </c>
      <c r="L489" t="s">
        <v>158</v>
      </c>
      <c r="M489" t="s">
        <v>9</v>
      </c>
    </row>
    <row r="490" spans="1:13">
      <c r="A490" s="2">
        <v>448929</v>
      </c>
      <c r="B490" t="s">
        <v>212</v>
      </c>
      <c r="C490" s="1">
        <v>42843</v>
      </c>
      <c r="D490" t="s">
        <v>260</v>
      </c>
      <c r="E490" t="s">
        <v>109</v>
      </c>
      <c r="F490" t="s">
        <v>110</v>
      </c>
      <c r="G490" t="s">
        <v>0</v>
      </c>
      <c r="H490" t="s">
        <v>1</v>
      </c>
      <c r="I490" t="s">
        <v>2</v>
      </c>
      <c r="J490" t="s">
        <v>911</v>
      </c>
      <c r="K490" t="s">
        <v>855</v>
      </c>
      <c r="L490" t="s">
        <v>158</v>
      </c>
      <c r="M490" t="s">
        <v>9</v>
      </c>
    </row>
    <row r="491" spans="1:13">
      <c r="A491" s="2">
        <v>448930</v>
      </c>
      <c r="B491" t="s">
        <v>212</v>
      </c>
      <c r="C491" s="1">
        <v>42843</v>
      </c>
      <c r="D491" t="s">
        <v>260</v>
      </c>
      <c r="E491" t="s">
        <v>109</v>
      </c>
      <c r="F491" t="s">
        <v>110</v>
      </c>
      <c r="G491" t="s">
        <v>0</v>
      </c>
      <c r="H491" t="s">
        <v>1</v>
      </c>
      <c r="I491" t="s">
        <v>2</v>
      </c>
      <c r="J491" t="s">
        <v>911</v>
      </c>
      <c r="K491" t="s">
        <v>856</v>
      </c>
      <c r="L491" t="s">
        <v>158</v>
      </c>
      <c r="M491" t="s">
        <v>9</v>
      </c>
    </row>
    <row r="492" spans="1:13">
      <c r="A492" s="2">
        <v>448931</v>
      </c>
      <c r="B492" t="s">
        <v>212</v>
      </c>
      <c r="C492" s="1">
        <v>42843</v>
      </c>
      <c r="D492" t="s">
        <v>260</v>
      </c>
      <c r="E492" t="s">
        <v>109</v>
      </c>
      <c r="F492" t="s">
        <v>110</v>
      </c>
      <c r="G492" t="s">
        <v>0</v>
      </c>
      <c r="H492" t="s">
        <v>1</v>
      </c>
      <c r="I492" t="s">
        <v>2</v>
      </c>
      <c r="J492" t="s">
        <v>911</v>
      </c>
      <c r="K492" t="s">
        <v>857</v>
      </c>
      <c r="L492" t="s">
        <v>93</v>
      </c>
      <c r="M492" t="s">
        <v>9</v>
      </c>
    </row>
    <row r="493" spans="1:13">
      <c r="A493" s="2">
        <v>448932</v>
      </c>
      <c r="B493" t="s">
        <v>212</v>
      </c>
      <c r="C493" s="1">
        <v>42843</v>
      </c>
      <c r="D493" t="s">
        <v>260</v>
      </c>
      <c r="E493" t="s">
        <v>109</v>
      </c>
      <c r="F493" t="s">
        <v>110</v>
      </c>
      <c r="G493" t="s">
        <v>0</v>
      </c>
      <c r="H493" t="s">
        <v>1</v>
      </c>
      <c r="I493" t="s">
        <v>2</v>
      </c>
      <c r="J493" t="s">
        <v>911</v>
      </c>
      <c r="K493" t="s">
        <v>858</v>
      </c>
      <c r="L493" t="s">
        <v>93</v>
      </c>
      <c r="M493" t="s">
        <v>9</v>
      </c>
    </row>
    <row r="494" spans="1:13">
      <c r="A494" s="2">
        <v>448933</v>
      </c>
      <c r="B494" t="s">
        <v>212</v>
      </c>
      <c r="C494" s="1">
        <v>42843</v>
      </c>
      <c r="D494" t="s">
        <v>260</v>
      </c>
      <c r="E494" t="s">
        <v>109</v>
      </c>
      <c r="F494" t="s">
        <v>110</v>
      </c>
      <c r="G494" t="s">
        <v>0</v>
      </c>
      <c r="H494" t="s">
        <v>1</v>
      </c>
      <c r="I494" t="s">
        <v>2</v>
      </c>
      <c r="J494" t="s">
        <v>911</v>
      </c>
      <c r="K494" t="s">
        <v>859</v>
      </c>
      <c r="L494" t="s">
        <v>93</v>
      </c>
      <c r="M494" t="s">
        <v>9</v>
      </c>
    </row>
    <row r="495" spans="1:13">
      <c r="A495" s="2">
        <v>448934</v>
      </c>
      <c r="B495" t="s">
        <v>65</v>
      </c>
      <c r="C495" s="1">
        <v>42843</v>
      </c>
      <c r="D495" t="s">
        <v>219</v>
      </c>
      <c r="E495" t="s">
        <v>109</v>
      </c>
      <c r="F495" t="s">
        <v>110</v>
      </c>
      <c r="G495" t="s">
        <v>0</v>
      </c>
      <c r="H495" t="s">
        <v>1</v>
      </c>
      <c r="I495" t="s">
        <v>2</v>
      </c>
      <c r="J495" t="s">
        <v>911</v>
      </c>
      <c r="K495" t="s">
        <v>860</v>
      </c>
      <c r="L495" t="s">
        <v>93</v>
      </c>
      <c r="M495" t="s">
        <v>9</v>
      </c>
    </row>
    <row r="496" spans="1:13">
      <c r="A496" s="2">
        <v>448935</v>
      </c>
      <c r="B496" t="s">
        <v>65</v>
      </c>
      <c r="C496" s="1">
        <v>42843</v>
      </c>
      <c r="D496" t="s">
        <v>219</v>
      </c>
      <c r="E496" t="s">
        <v>109</v>
      </c>
      <c r="F496" t="s">
        <v>110</v>
      </c>
      <c r="G496" t="s">
        <v>0</v>
      </c>
      <c r="H496" t="s">
        <v>1</v>
      </c>
      <c r="I496" t="s">
        <v>2</v>
      </c>
      <c r="J496" t="s">
        <v>911</v>
      </c>
      <c r="K496" t="s">
        <v>861</v>
      </c>
      <c r="L496" t="s">
        <v>93</v>
      </c>
      <c r="M496" t="s">
        <v>9</v>
      </c>
    </row>
    <row r="497" spans="1:13">
      <c r="A497" s="2">
        <v>448936</v>
      </c>
      <c r="B497" t="s">
        <v>212</v>
      </c>
      <c r="C497" s="1">
        <v>42843</v>
      </c>
      <c r="D497" t="s">
        <v>260</v>
      </c>
      <c r="E497" t="s">
        <v>109</v>
      </c>
      <c r="F497" t="s">
        <v>110</v>
      </c>
      <c r="G497" t="s">
        <v>0</v>
      </c>
      <c r="H497" t="s">
        <v>1</v>
      </c>
      <c r="I497" t="s">
        <v>2</v>
      </c>
      <c r="J497" t="s">
        <v>911</v>
      </c>
      <c r="K497" t="s">
        <v>862</v>
      </c>
      <c r="L497" t="s">
        <v>93</v>
      </c>
      <c r="M497" t="s">
        <v>9</v>
      </c>
    </row>
    <row r="498" spans="1:13">
      <c r="A498" s="2">
        <v>448937</v>
      </c>
      <c r="B498" t="s">
        <v>212</v>
      </c>
      <c r="C498" s="1">
        <v>42843</v>
      </c>
      <c r="D498" t="s">
        <v>260</v>
      </c>
      <c r="E498" t="s">
        <v>109</v>
      </c>
      <c r="F498" t="s">
        <v>110</v>
      </c>
      <c r="G498" t="s">
        <v>0</v>
      </c>
      <c r="H498" t="s">
        <v>1</v>
      </c>
      <c r="I498" t="s">
        <v>2</v>
      </c>
      <c r="J498" t="s">
        <v>911</v>
      </c>
      <c r="K498" t="s">
        <v>863</v>
      </c>
      <c r="L498" t="s">
        <v>93</v>
      </c>
      <c r="M498" t="s">
        <v>9</v>
      </c>
    </row>
    <row r="499" spans="1:13">
      <c r="A499" s="2">
        <v>448938</v>
      </c>
      <c r="B499" t="s">
        <v>212</v>
      </c>
      <c r="C499" s="1">
        <v>42843</v>
      </c>
      <c r="D499" t="s">
        <v>864</v>
      </c>
      <c r="E499" t="s">
        <v>109</v>
      </c>
      <c r="F499" t="s">
        <v>110</v>
      </c>
      <c r="G499" t="s">
        <v>0</v>
      </c>
      <c r="H499" t="s">
        <v>1</v>
      </c>
      <c r="I499" t="s">
        <v>2</v>
      </c>
      <c r="J499" t="s">
        <v>911</v>
      </c>
      <c r="K499" t="s">
        <v>865</v>
      </c>
      <c r="L499" t="s">
        <v>140</v>
      </c>
      <c r="M499" t="s">
        <v>9</v>
      </c>
    </row>
    <row r="500" spans="1:13">
      <c r="A500" s="2">
        <v>448939</v>
      </c>
      <c r="B500" t="s">
        <v>65</v>
      </c>
      <c r="C500" s="1">
        <v>42843</v>
      </c>
      <c r="D500" t="s">
        <v>866</v>
      </c>
      <c r="E500" t="s">
        <v>109</v>
      </c>
      <c r="F500" t="s">
        <v>110</v>
      </c>
      <c r="G500" t="s">
        <v>0</v>
      </c>
      <c r="H500" t="s">
        <v>1</v>
      </c>
      <c r="I500" t="s">
        <v>2</v>
      </c>
      <c r="J500" t="s">
        <v>911</v>
      </c>
      <c r="K500" t="s">
        <v>867</v>
      </c>
      <c r="L500" t="s">
        <v>140</v>
      </c>
      <c r="M500" t="s">
        <v>9</v>
      </c>
    </row>
    <row r="501" spans="1:13">
      <c r="A501" s="2">
        <v>448940</v>
      </c>
      <c r="B501" t="s">
        <v>212</v>
      </c>
      <c r="C501" s="1">
        <v>42843</v>
      </c>
      <c r="D501" t="s">
        <v>260</v>
      </c>
      <c r="E501" t="s">
        <v>109</v>
      </c>
      <c r="F501" t="s">
        <v>110</v>
      </c>
      <c r="G501" t="s">
        <v>0</v>
      </c>
      <c r="H501" t="s">
        <v>1</v>
      </c>
      <c r="I501" t="s">
        <v>2</v>
      </c>
      <c r="J501" t="s">
        <v>911</v>
      </c>
      <c r="K501" t="s">
        <v>868</v>
      </c>
      <c r="L501" t="s">
        <v>140</v>
      </c>
      <c r="M501" t="s">
        <v>9</v>
      </c>
    </row>
    <row r="502" spans="1:13">
      <c r="A502" s="2">
        <v>448941</v>
      </c>
      <c r="B502" t="s">
        <v>65</v>
      </c>
      <c r="C502" s="1">
        <v>42843</v>
      </c>
      <c r="D502" t="s">
        <v>219</v>
      </c>
      <c r="E502" t="s">
        <v>109</v>
      </c>
      <c r="F502" t="s">
        <v>110</v>
      </c>
      <c r="G502" t="s">
        <v>0</v>
      </c>
      <c r="H502" t="s">
        <v>1</v>
      </c>
      <c r="I502" t="s">
        <v>2</v>
      </c>
      <c r="J502" t="s">
        <v>911</v>
      </c>
      <c r="K502" t="s">
        <v>869</v>
      </c>
      <c r="L502" t="s">
        <v>140</v>
      </c>
      <c r="M502" t="s">
        <v>9</v>
      </c>
    </row>
    <row r="503" spans="1:13">
      <c r="A503" s="2">
        <v>448942</v>
      </c>
      <c r="B503" t="s">
        <v>65</v>
      </c>
      <c r="C503" s="1">
        <v>42843</v>
      </c>
      <c r="D503" t="s">
        <v>219</v>
      </c>
      <c r="E503" t="s">
        <v>109</v>
      </c>
      <c r="F503" t="s">
        <v>110</v>
      </c>
      <c r="G503" t="s">
        <v>0</v>
      </c>
      <c r="H503" t="s">
        <v>1</v>
      </c>
      <c r="I503" t="s">
        <v>2</v>
      </c>
      <c r="J503" t="s">
        <v>911</v>
      </c>
      <c r="K503" t="s">
        <v>870</v>
      </c>
      <c r="L503" t="s">
        <v>140</v>
      </c>
      <c r="M503" t="s">
        <v>9</v>
      </c>
    </row>
    <row r="504" spans="1:13">
      <c r="A504" s="2">
        <v>448943</v>
      </c>
      <c r="B504" t="s">
        <v>65</v>
      </c>
      <c r="C504" s="1">
        <v>42843</v>
      </c>
      <c r="D504" t="s">
        <v>219</v>
      </c>
      <c r="E504" t="s">
        <v>109</v>
      </c>
      <c r="F504" t="s">
        <v>110</v>
      </c>
      <c r="G504" t="s">
        <v>0</v>
      </c>
      <c r="H504" t="s">
        <v>1</v>
      </c>
      <c r="I504" t="s">
        <v>2</v>
      </c>
      <c r="J504" t="s">
        <v>911</v>
      </c>
      <c r="K504" t="s">
        <v>871</v>
      </c>
      <c r="L504" t="s">
        <v>140</v>
      </c>
      <c r="M504" t="s">
        <v>9</v>
      </c>
    </row>
    <row r="505" spans="1:13">
      <c r="A505" s="2">
        <v>448944</v>
      </c>
      <c r="B505" t="s">
        <v>212</v>
      </c>
      <c r="C505" s="1">
        <v>42843</v>
      </c>
      <c r="D505" t="s">
        <v>260</v>
      </c>
      <c r="E505" t="s">
        <v>109</v>
      </c>
      <c r="F505" t="s">
        <v>110</v>
      </c>
      <c r="G505" t="s">
        <v>0</v>
      </c>
      <c r="H505" t="s">
        <v>1</v>
      </c>
      <c r="I505" t="s">
        <v>2</v>
      </c>
      <c r="J505" t="s">
        <v>911</v>
      </c>
      <c r="K505" t="s">
        <v>872</v>
      </c>
      <c r="L505" t="s">
        <v>140</v>
      </c>
      <c r="M505" t="s">
        <v>9</v>
      </c>
    </row>
    <row r="506" spans="1:13">
      <c r="A506" s="2">
        <v>448945</v>
      </c>
      <c r="B506" t="s">
        <v>212</v>
      </c>
      <c r="C506" s="1">
        <v>42843</v>
      </c>
      <c r="D506" t="s">
        <v>260</v>
      </c>
      <c r="E506" t="s">
        <v>109</v>
      </c>
      <c r="F506" t="s">
        <v>110</v>
      </c>
      <c r="G506" t="s">
        <v>0</v>
      </c>
      <c r="H506" t="s">
        <v>1</v>
      </c>
      <c r="I506" t="s">
        <v>2</v>
      </c>
      <c r="J506" t="s">
        <v>911</v>
      </c>
      <c r="K506" t="s">
        <v>873</v>
      </c>
      <c r="L506" t="s">
        <v>140</v>
      </c>
      <c r="M506" t="s">
        <v>9</v>
      </c>
    </row>
    <row r="507" spans="1:13">
      <c r="A507" s="2">
        <v>448946</v>
      </c>
      <c r="B507" t="s">
        <v>212</v>
      </c>
      <c r="C507" s="1">
        <v>42843</v>
      </c>
      <c r="D507" t="s">
        <v>260</v>
      </c>
      <c r="E507" t="s">
        <v>109</v>
      </c>
      <c r="F507" t="s">
        <v>110</v>
      </c>
      <c r="G507" t="s">
        <v>0</v>
      </c>
      <c r="H507" t="s">
        <v>1</v>
      </c>
      <c r="I507" t="s">
        <v>2</v>
      </c>
      <c r="J507" t="s">
        <v>911</v>
      </c>
      <c r="K507" t="s">
        <v>874</v>
      </c>
      <c r="L507" t="s">
        <v>140</v>
      </c>
      <c r="M507" t="s">
        <v>9</v>
      </c>
    </row>
    <row r="508" spans="1:13">
      <c r="A508" s="2">
        <v>448947</v>
      </c>
      <c r="B508" t="s">
        <v>65</v>
      </c>
      <c r="C508" s="1">
        <v>42843</v>
      </c>
      <c r="D508" t="s">
        <v>219</v>
      </c>
      <c r="E508" t="s">
        <v>109</v>
      </c>
      <c r="F508" t="s">
        <v>110</v>
      </c>
      <c r="G508" t="s">
        <v>0</v>
      </c>
      <c r="H508" t="s">
        <v>1</v>
      </c>
      <c r="I508" t="s">
        <v>2</v>
      </c>
      <c r="J508" t="s">
        <v>911</v>
      </c>
      <c r="K508" t="s">
        <v>875</v>
      </c>
      <c r="L508" t="s">
        <v>140</v>
      </c>
      <c r="M508" t="s">
        <v>9</v>
      </c>
    </row>
    <row r="509" spans="1:13">
      <c r="A509" s="2">
        <v>448948</v>
      </c>
      <c r="B509" t="s">
        <v>212</v>
      </c>
      <c r="C509" s="1">
        <v>42864</v>
      </c>
      <c r="D509" t="s">
        <v>364</v>
      </c>
      <c r="E509" t="s">
        <v>109</v>
      </c>
      <c r="F509" t="s">
        <v>110</v>
      </c>
      <c r="G509" t="s">
        <v>0</v>
      </c>
      <c r="H509" t="s">
        <v>1</v>
      </c>
      <c r="I509" t="s">
        <v>2</v>
      </c>
      <c r="J509" t="s">
        <v>911</v>
      </c>
      <c r="K509" t="s">
        <v>876</v>
      </c>
      <c r="L509" t="s">
        <v>153</v>
      </c>
      <c r="M509" t="s">
        <v>9</v>
      </c>
    </row>
    <row r="510" spans="1:13">
      <c r="A510" s="2">
        <v>448949</v>
      </c>
      <c r="B510" t="s">
        <v>212</v>
      </c>
      <c r="C510" s="1">
        <v>42864</v>
      </c>
      <c r="D510" t="s">
        <v>364</v>
      </c>
      <c r="E510" t="s">
        <v>109</v>
      </c>
      <c r="F510" t="s">
        <v>110</v>
      </c>
      <c r="G510" t="s">
        <v>0</v>
      </c>
      <c r="H510" t="s">
        <v>1</v>
      </c>
      <c r="I510" t="s">
        <v>2</v>
      </c>
      <c r="J510" t="s">
        <v>911</v>
      </c>
      <c r="K510" t="s">
        <v>877</v>
      </c>
      <c r="L510" t="s">
        <v>153</v>
      </c>
      <c r="M510" t="s">
        <v>9</v>
      </c>
    </row>
    <row r="511" spans="1:13">
      <c r="A511" s="2">
        <v>448950</v>
      </c>
      <c r="B511" t="s">
        <v>212</v>
      </c>
      <c r="C511" s="1">
        <v>42864</v>
      </c>
      <c r="D511" t="s">
        <v>364</v>
      </c>
      <c r="E511" t="s">
        <v>109</v>
      </c>
      <c r="F511" t="s">
        <v>110</v>
      </c>
      <c r="G511" t="s">
        <v>0</v>
      </c>
      <c r="H511" t="s">
        <v>1</v>
      </c>
      <c r="I511" t="s">
        <v>2</v>
      </c>
      <c r="J511" t="s">
        <v>911</v>
      </c>
      <c r="K511" t="s">
        <v>878</v>
      </c>
      <c r="L511" t="s">
        <v>105</v>
      </c>
      <c r="M511" t="s">
        <v>9</v>
      </c>
    </row>
    <row r="512" spans="1:13">
      <c r="A512" s="2">
        <v>448951</v>
      </c>
      <c r="B512" t="s">
        <v>65</v>
      </c>
      <c r="C512" s="1">
        <v>42864</v>
      </c>
      <c r="D512" t="s">
        <v>343</v>
      </c>
      <c r="E512" t="s">
        <v>109</v>
      </c>
      <c r="F512" t="s">
        <v>110</v>
      </c>
      <c r="G512" t="s">
        <v>0</v>
      </c>
      <c r="H512" t="s">
        <v>1</v>
      </c>
      <c r="I512" t="s">
        <v>2</v>
      </c>
      <c r="J512" t="s">
        <v>911</v>
      </c>
      <c r="K512" t="s">
        <v>879</v>
      </c>
      <c r="L512" t="s">
        <v>105</v>
      </c>
      <c r="M512" t="s">
        <v>9</v>
      </c>
    </row>
    <row r="513" spans="1:13">
      <c r="A513" s="2">
        <v>448952</v>
      </c>
      <c r="B513" t="s">
        <v>65</v>
      </c>
      <c r="C513" s="1">
        <v>42864</v>
      </c>
      <c r="D513" t="s">
        <v>343</v>
      </c>
      <c r="E513" t="s">
        <v>109</v>
      </c>
      <c r="F513" t="s">
        <v>110</v>
      </c>
      <c r="G513" t="s">
        <v>0</v>
      </c>
      <c r="H513" t="s">
        <v>1</v>
      </c>
      <c r="I513" t="s">
        <v>2</v>
      </c>
      <c r="J513" t="s">
        <v>911</v>
      </c>
      <c r="K513" t="s">
        <v>880</v>
      </c>
      <c r="L513" t="s">
        <v>105</v>
      </c>
      <c r="M513" t="s">
        <v>9</v>
      </c>
    </row>
    <row r="514" spans="1:13">
      <c r="A514" s="2">
        <v>448953</v>
      </c>
      <c r="B514" t="s">
        <v>65</v>
      </c>
      <c r="C514" s="1">
        <v>42864</v>
      </c>
      <c r="D514" t="s">
        <v>343</v>
      </c>
      <c r="E514" t="s">
        <v>109</v>
      </c>
      <c r="F514" t="s">
        <v>110</v>
      </c>
      <c r="G514" t="s">
        <v>0</v>
      </c>
      <c r="H514" t="s">
        <v>1</v>
      </c>
      <c r="I514" t="s">
        <v>2</v>
      </c>
      <c r="J514" t="s">
        <v>911</v>
      </c>
      <c r="K514" t="s">
        <v>881</v>
      </c>
      <c r="L514" t="s">
        <v>105</v>
      </c>
      <c r="M514" t="s">
        <v>9</v>
      </c>
    </row>
    <row r="515" spans="1:13">
      <c r="A515" s="2">
        <v>448954</v>
      </c>
      <c r="B515" t="s">
        <v>212</v>
      </c>
      <c r="C515" s="1">
        <v>42864</v>
      </c>
      <c r="D515" t="s">
        <v>364</v>
      </c>
      <c r="E515" t="s">
        <v>109</v>
      </c>
      <c r="F515" t="s">
        <v>110</v>
      </c>
      <c r="G515" t="s">
        <v>0</v>
      </c>
      <c r="H515" t="s">
        <v>1</v>
      </c>
      <c r="I515" t="s">
        <v>2</v>
      </c>
      <c r="J515" t="s">
        <v>911</v>
      </c>
      <c r="K515" t="s">
        <v>882</v>
      </c>
      <c r="L515" t="s">
        <v>105</v>
      </c>
      <c r="M515" t="s">
        <v>9</v>
      </c>
    </row>
  </sheetData>
  <sortState ref="A2:M515">
    <sortCondition ref="J2:J515"/>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EA22D-A214-A240-A93B-2F5593538B48}">
  <dimension ref="A1:XFD89"/>
  <sheetViews>
    <sheetView workbookViewId="0">
      <selection sqref="A1:XFD1048576"/>
    </sheetView>
  </sheetViews>
  <sheetFormatPr baseColWidth="10" defaultRowHeight="16"/>
  <cols>
    <col min="1" max="1" width="13.1640625" bestFit="1" customWidth="1"/>
    <col min="2" max="2" width="10.5" bestFit="1" customWidth="1"/>
    <col min="3" max="3" width="7.1640625" bestFit="1" customWidth="1"/>
    <col min="4" max="4" width="10.5" bestFit="1" customWidth="1"/>
    <col min="5" max="5" width="19.5" bestFit="1" customWidth="1"/>
    <col min="6" max="6" width="16.83203125" bestFit="1" customWidth="1"/>
    <col min="7" max="7" width="255.83203125" bestFit="1" customWidth="1"/>
    <col min="8" max="8" width="21.83203125" bestFit="1" customWidth="1"/>
    <col min="9" max="9" width="23" bestFit="1" customWidth="1"/>
    <col min="10" max="10" width="22" bestFit="1" customWidth="1"/>
    <col min="11" max="11" width="15.5" bestFit="1" customWidth="1"/>
    <col min="12" max="12" width="11.6640625" bestFit="1" customWidth="1"/>
    <col min="13" max="13" width="29.33203125" bestFit="1" customWidth="1"/>
    <col min="14" max="14" width="14.83203125" bestFit="1" customWidth="1"/>
    <col min="15" max="15" width="20.33203125" bestFit="1" customWidth="1"/>
    <col min="16" max="16" width="24.5" bestFit="1" customWidth="1"/>
  </cols>
  <sheetData>
    <row r="1" spans="1:16 16384:16384" s="7" customFormat="1">
      <c r="A1" s="7" t="s">
        <v>944</v>
      </c>
      <c r="B1" s="7" t="s">
        <v>1195</v>
      </c>
      <c r="C1" s="7" t="s">
        <v>1193</v>
      </c>
      <c r="D1" s="7" t="s">
        <v>912</v>
      </c>
      <c r="E1" s="7" t="s">
        <v>898</v>
      </c>
      <c r="F1" s="7" t="s">
        <v>899</v>
      </c>
      <c r="G1" s="7" t="s">
        <v>900</v>
      </c>
      <c r="H1" s="7" t="s">
        <v>901</v>
      </c>
      <c r="I1" s="7" t="s">
        <v>902</v>
      </c>
      <c r="J1" s="7" t="s">
        <v>903</v>
      </c>
      <c r="K1" s="7" t="s">
        <v>904</v>
      </c>
      <c r="L1" s="7" t="s">
        <v>905</v>
      </c>
      <c r="M1" s="7" t="s">
        <v>906</v>
      </c>
      <c r="N1" s="7" t="s">
        <v>907</v>
      </c>
      <c r="O1" s="7" t="s">
        <v>908</v>
      </c>
      <c r="P1" s="7" t="s">
        <v>909</v>
      </c>
      <c r="XFD1"/>
    </row>
    <row r="2" spans="1:16 16384:16384" s="5" customFormat="1">
      <c r="A2" s="5" t="s">
        <v>8</v>
      </c>
      <c r="B2" s="5" t="s">
        <v>1196</v>
      </c>
      <c r="C2" s="5" t="s">
        <v>1197</v>
      </c>
      <c r="D2" s="5">
        <v>576</v>
      </c>
      <c r="E2" s="5" t="s">
        <v>3</v>
      </c>
      <c r="F2" s="6">
        <v>43317</v>
      </c>
      <c r="G2" s="5" t="s">
        <v>4</v>
      </c>
      <c r="H2" s="5" t="s">
        <v>5</v>
      </c>
      <c r="I2" s="5" t="s">
        <v>6</v>
      </c>
      <c r="J2" s="5" t="s">
        <v>0</v>
      </c>
      <c r="K2" s="5" t="s">
        <v>1</v>
      </c>
      <c r="L2" s="5" t="s">
        <v>2</v>
      </c>
      <c r="M2" s="5" t="s">
        <v>913</v>
      </c>
      <c r="N2" s="5" t="s">
        <v>7</v>
      </c>
      <c r="O2" s="5" t="s">
        <v>8</v>
      </c>
      <c r="P2" s="5" t="s">
        <v>9</v>
      </c>
      <c r="XFD2"/>
    </row>
    <row r="3" spans="1:16 16384:16384" s="5" customFormat="1">
      <c r="A3" s="5" t="s">
        <v>8</v>
      </c>
      <c r="B3" s="5" t="s">
        <v>1198</v>
      </c>
      <c r="C3" s="5" t="s">
        <v>1197</v>
      </c>
      <c r="D3" s="5">
        <v>577</v>
      </c>
      <c r="E3" s="5" t="s">
        <v>3</v>
      </c>
      <c r="F3" s="6">
        <v>43318</v>
      </c>
      <c r="G3" s="5" t="s">
        <v>10</v>
      </c>
      <c r="H3" s="5" t="s">
        <v>5</v>
      </c>
      <c r="I3" s="5" t="s">
        <v>6</v>
      </c>
      <c r="J3" s="5" t="s">
        <v>0</v>
      </c>
      <c r="K3" s="5" t="s">
        <v>1</v>
      </c>
      <c r="L3" s="5" t="s">
        <v>2</v>
      </c>
      <c r="M3" s="5" t="s">
        <v>913</v>
      </c>
      <c r="N3" s="5" t="s">
        <v>11</v>
      </c>
      <c r="O3" s="5" t="s">
        <v>8</v>
      </c>
      <c r="P3" s="5" t="s">
        <v>9</v>
      </c>
      <c r="XFD3"/>
    </row>
    <row r="4" spans="1:16 16384:16384" s="5" customFormat="1">
      <c r="A4" s="5" t="s">
        <v>8</v>
      </c>
      <c r="B4" s="5" t="s">
        <v>1199</v>
      </c>
      <c r="C4" s="5" t="s">
        <v>1197</v>
      </c>
      <c r="D4" s="5">
        <v>581</v>
      </c>
      <c r="E4" s="5" t="s">
        <v>3</v>
      </c>
      <c r="F4" s="6">
        <v>43322</v>
      </c>
      <c r="G4" s="5" t="s">
        <v>12</v>
      </c>
      <c r="H4" s="5" t="s">
        <v>5</v>
      </c>
      <c r="I4" s="5" t="s">
        <v>6</v>
      </c>
      <c r="J4" s="5" t="s">
        <v>0</v>
      </c>
      <c r="K4" s="5" t="s">
        <v>1</v>
      </c>
      <c r="L4" s="5" t="s">
        <v>2</v>
      </c>
      <c r="M4" s="5" t="s">
        <v>913</v>
      </c>
      <c r="N4" s="5" t="s">
        <v>13</v>
      </c>
      <c r="O4" s="5" t="s">
        <v>8</v>
      </c>
      <c r="P4" s="5" t="s">
        <v>9</v>
      </c>
      <c r="XFD4"/>
    </row>
    <row r="5" spans="1:16 16384:16384" s="5" customFormat="1">
      <c r="A5" s="5" t="s">
        <v>8</v>
      </c>
      <c r="B5" s="5" t="s">
        <v>1200</v>
      </c>
      <c r="C5" s="5" t="s">
        <v>1197</v>
      </c>
      <c r="D5" s="5">
        <v>582</v>
      </c>
      <c r="E5" s="5" t="s">
        <v>3</v>
      </c>
      <c r="F5" s="6">
        <v>43325</v>
      </c>
      <c r="G5" s="5" t="s">
        <v>14</v>
      </c>
      <c r="H5" s="5" t="s">
        <v>5</v>
      </c>
      <c r="I5" s="5" t="s">
        <v>6</v>
      </c>
      <c r="J5" s="5" t="s">
        <v>0</v>
      </c>
      <c r="K5" s="5" t="s">
        <v>1</v>
      </c>
      <c r="L5" s="5" t="s">
        <v>2</v>
      </c>
      <c r="M5" s="5" t="s">
        <v>913</v>
      </c>
      <c r="N5" s="5" t="s">
        <v>15</v>
      </c>
      <c r="O5" s="5" t="s">
        <v>8</v>
      </c>
      <c r="P5" s="5" t="s">
        <v>9</v>
      </c>
      <c r="XFD5"/>
    </row>
    <row r="6" spans="1:16 16384:16384" s="5" customFormat="1">
      <c r="A6" s="5" t="s">
        <v>8</v>
      </c>
      <c r="B6" s="5" t="s">
        <v>1201</v>
      </c>
      <c r="C6" s="5" t="s">
        <v>1197</v>
      </c>
      <c r="D6" s="5">
        <v>584</v>
      </c>
      <c r="E6" s="5" t="s">
        <v>3</v>
      </c>
      <c r="F6" s="6">
        <v>43325</v>
      </c>
      <c r="G6" s="5" t="s">
        <v>16</v>
      </c>
      <c r="H6" s="5" t="s">
        <v>5</v>
      </c>
      <c r="I6" s="5" t="s">
        <v>6</v>
      </c>
      <c r="J6" s="5" t="s">
        <v>0</v>
      </c>
      <c r="K6" s="5" t="s">
        <v>1</v>
      </c>
      <c r="L6" s="5" t="s">
        <v>2</v>
      </c>
      <c r="M6" s="5" t="s">
        <v>913</v>
      </c>
      <c r="N6" s="5" t="s">
        <v>17</v>
      </c>
      <c r="O6" s="5" t="s">
        <v>8</v>
      </c>
      <c r="P6" s="5" t="s">
        <v>9</v>
      </c>
      <c r="XFD6"/>
    </row>
    <row r="7" spans="1:16 16384:16384" s="5" customFormat="1">
      <c r="A7" s="5" t="s">
        <v>8</v>
      </c>
      <c r="B7" s="5" t="s">
        <v>1202</v>
      </c>
      <c r="C7" s="5" t="s">
        <v>1197</v>
      </c>
      <c r="D7" s="5">
        <v>586</v>
      </c>
      <c r="E7" s="5" t="s">
        <v>3</v>
      </c>
      <c r="F7" s="6">
        <v>43319</v>
      </c>
      <c r="G7" s="5" t="s">
        <v>18</v>
      </c>
      <c r="H7" s="5" t="s">
        <v>5</v>
      </c>
      <c r="I7" s="5" t="s">
        <v>6</v>
      </c>
      <c r="J7" s="5" t="s">
        <v>0</v>
      </c>
      <c r="K7" s="5" t="s">
        <v>1</v>
      </c>
      <c r="L7" s="5" t="s">
        <v>2</v>
      </c>
      <c r="M7" s="5" t="s">
        <v>913</v>
      </c>
      <c r="N7" s="5" t="s">
        <v>19</v>
      </c>
      <c r="O7" s="5" t="s">
        <v>8</v>
      </c>
      <c r="P7" s="5" t="s">
        <v>9</v>
      </c>
      <c r="XFD7"/>
    </row>
    <row r="8" spans="1:16 16384:16384" s="5" customFormat="1">
      <c r="A8" s="5" t="s">
        <v>8</v>
      </c>
      <c r="B8" s="5" t="s">
        <v>1203</v>
      </c>
      <c r="C8" s="5" t="s">
        <v>1197</v>
      </c>
      <c r="D8" s="5">
        <v>587</v>
      </c>
      <c r="E8" s="5" t="s">
        <v>3</v>
      </c>
      <c r="F8" s="6">
        <v>43317</v>
      </c>
      <c r="G8" s="5" t="s">
        <v>20</v>
      </c>
      <c r="H8" s="5" t="s">
        <v>5</v>
      </c>
      <c r="I8" s="5" t="s">
        <v>6</v>
      </c>
      <c r="J8" s="5" t="s">
        <v>0</v>
      </c>
      <c r="K8" s="5" t="s">
        <v>1</v>
      </c>
      <c r="L8" s="5" t="s">
        <v>2</v>
      </c>
      <c r="M8" s="5" t="s">
        <v>913</v>
      </c>
      <c r="N8" s="5" t="s">
        <v>21</v>
      </c>
      <c r="O8" s="5" t="s">
        <v>8</v>
      </c>
      <c r="P8" s="5" t="s">
        <v>9</v>
      </c>
      <c r="XFD8"/>
    </row>
    <row r="9" spans="1:16 16384:16384" s="5" customFormat="1">
      <c r="A9" s="5" t="s">
        <v>8</v>
      </c>
      <c r="B9" s="5" t="s">
        <v>1204</v>
      </c>
      <c r="C9" s="5" t="s">
        <v>1197</v>
      </c>
      <c r="D9" s="5">
        <v>588</v>
      </c>
      <c r="E9" s="5" t="s">
        <v>3</v>
      </c>
      <c r="F9" s="6">
        <v>43319</v>
      </c>
      <c r="G9" s="5" t="s">
        <v>22</v>
      </c>
      <c r="H9" s="5" t="s">
        <v>5</v>
      </c>
      <c r="I9" s="5" t="s">
        <v>6</v>
      </c>
      <c r="J9" s="5" t="s">
        <v>0</v>
      </c>
      <c r="K9" s="5" t="s">
        <v>1</v>
      </c>
      <c r="L9" s="5" t="s">
        <v>2</v>
      </c>
      <c r="M9" s="5" t="s">
        <v>913</v>
      </c>
      <c r="N9" s="5" t="s">
        <v>23</v>
      </c>
      <c r="O9" s="5" t="s">
        <v>8</v>
      </c>
      <c r="P9" s="5" t="s">
        <v>9</v>
      </c>
      <c r="XFD9"/>
    </row>
    <row r="10" spans="1:16 16384:16384" s="5" customFormat="1">
      <c r="A10" s="5" t="s">
        <v>8</v>
      </c>
      <c r="B10" s="5" t="s">
        <v>1205</v>
      </c>
      <c r="C10" s="5" t="s">
        <v>1197</v>
      </c>
      <c r="D10" s="5">
        <v>589</v>
      </c>
      <c r="E10" s="5" t="s">
        <v>24</v>
      </c>
      <c r="F10" s="6">
        <v>43339</v>
      </c>
      <c r="G10" s="5" t="s">
        <v>25</v>
      </c>
      <c r="H10" s="5" t="s">
        <v>5</v>
      </c>
      <c r="I10" s="5" t="s">
        <v>6</v>
      </c>
      <c r="J10" s="5" t="s">
        <v>0</v>
      </c>
      <c r="K10" s="5" t="s">
        <v>1</v>
      </c>
      <c r="L10" s="5" t="s">
        <v>2</v>
      </c>
      <c r="M10" s="5" t="s">
        <v>913</v>
      </c>
      <c r="N10" s="5" t="s">
        <v>26</v>
      </c>
      <c r="O10" s="5" t="s">
        <v>8</v>
      </c>
      <c r="P10" s="5" t="s">
        <v>9</v>
      </c>
      <c r="XFD10"/>
    </row>
    <row r="11" spans="1:16 16384:16384" s="5" customFormat="1">
      <c r="A11" s="5" t="s">
        <v>8</v>
      </c>
      <c r="B11" s="5" t="s">
        <v>1206</v>
      </c>
      <c r="C11" s="5" t="s">
        <v>1197</v>
      </c>
      <c r="D11" s="5">
        <v>592</v>
      </c>
      <c r="E11" s="5" t="s">
        <v>3</v>
      </c>
      <c r="F11" s="6">
        <v>43317</v>
      </c>
      <c r="G11" s="5" t="s">
        <v>27</v>
      </c>
      <c r="H11" s="5" t="s">
        <v>5</v>
      </c>
      <c r="I11" s="5" t="s">
        <v>6</v>
      </c>
      <c r="J11" s="5" t="s">
        <v>0</v>
      </c>
      <c r="K11" s="5" t="s">
        <v>1</v>
      </c>
      <c r="L11" s="5" t="s">
        <v>2</v>
      </c>
      <c r="M11" s="5" t="s">
        <v>913</v>
      </c>
      <c r="N11" s="5" t="s">
        <v>28</v>
      </c>
      <c r="O11" s="5" t="s">
        <v>8</v>
      </c>
      <c r="P11" s="5" t="s">
        <v>9</v>
      </c>
      <c r="XFD11"/>
    </row>
    <row r="12" spans="1:16 16384:16384" s="5" customFormat="1">
      <c r="A12" s="5" t="s">
        <v>8</v>
      </c>
      <c r="B12" s="5" t="s">
        <v>1207</v>
      </c>
      <c r="C12" s="5" t="s">
        <v>1197</v>
      </c>
      <c r="D12" s="5">
        <v>593</v>
      </c>
      <c r="E12" s="5" t="s">
        <v>3</v>
      </c>
      <c r="F12" s="6">
        <v>43308</v>
      </c>
      <c r="G12" s="5" t="s">
        <v>29</v>
      </c>
      <c r="H12" s="5" t="s">
        <v>5</v>
      </c>
      <c r="I12" s="5" t="s">
        <v>6</v>
      </c>
      <c r="J12" s="5" t="s">
        <v>0</v>
      </c>
      <c r="K12" s="5" t="s">
        <v>1</v>
      </c>
      <c r="L12" s="5" t="s">
        <v>2</v>
      </c>
      <c r="M12" s="5" t="s">
        <v>913</v>
      </c>
      <c r="N12" s="5" t="s">
        <v>30</v>
      </c>
      <c r="O12" s="5" t="s">
        <v>8</v>
      </c>
      <c r="P12" s="5" t="s">
        <v>9</v>
      </c>
      <c r="XFD12"/>
    </row>
    <row r="13" spans="1:16 16384:16384" s="5" customFormat="1">
      <c r="A13" s="5" t="s">
        <v>8</v>
      </c>
      <c r="B13" s="5" t="s">
        <v>1208</v>
      </c>
      <c r="C13" s="5" t="s">
        <v>1197</v>
      </c>
      <c r="D13" s="5">
        <v>594</v>
      </c>
      <c r="E13" s="5" t="s">
        <v>3</v>
      </c>
      <c r="F13" s="6">
        <v>43317</v>
      </c>
      <c r="G13" s="5" t="s">
        <v>31</v>
      </c>
      <c r="H13" s="5" t="s">
        <v>5</v>
      </c>
      <c r="I13" s="5" t="s">
        <v>6</v>
      </c>
      <c r="J13" s="5" t="s">
        <v>0</v>
      </c>
      <c r="K13" s="5" t="s">
        <v>1</v>
      </c>
      <c r="L13" s="5" t="s">
        <v>2</v>
      </c>
      <c r="M13" s="5" t="s">
        <v>913</v>
      </c>
      <c r="N13" s="5" t="s">
        <v>32</v>
      </c>
      <c r="O13" s="5" t="s">
        <v>8</v>
      </c>
      <c r="P13" s="5" t="s">
        <v>9</v>
      </c>
      <c r="XFD13"/>
    </row>
    <row r="14" spans="1:16 16384:16384" s="5" customFormat="1">
      <c r="A14" s="5" t="s">
        <v>8</v>
      </c>
      <c r="B14" s="5" t="s">
        <v>1209</v>
      </c>
      <c r="C14" s="5" t="s">
        <v>1197</v>
      </c>
      <c r="D14" s="5">
        <v>595</v>
      </c>
      <c r="E14" s="5" t="s">
        <v>3</v>
      </c>
      <c r="F14" s="6">
        <v>43319</v>
      </c>
      <c r="G14" s="5" t="s">
        <v>33</v>
      </c>
      <c r="H14" s="5" t="s">
        <v>5</v>
      </c>
      <c r="I14" s="5" t="s">
        <v>6</v>
      </c>
      <c r="J14" s="5" t="s">
        <v>0</v>
      </c>
      <c r="K14" s="5" t="s">
        <v>1</v>
      </c>
      <c r="L14" s="5" t="s">
        <v>2</v>
      </c>
      <c r="M14" s="5" t="s">
        <v>913</v>
      </c>
      <c r="N14" s="5" t="s">
        <v>34</v>
      </c>
      <c r="O14" s="5" t="s">
        <v>8</v>
      </c>
      <c r="P14" s="5" t="s">
        <v>9</v>
      </c>
      <c r="XFD14"/>
    </row>
    <row r="15" spans="1:16 16384:16384" s="5" customFormat="1">
      <c r="A15" s="5" t="s">
        <v>8</v>
      </c>
      <c r="B15" s="5" t="s">
        <v>1210</v>
      </c>
      <c r="C15" s="5" t="s">
        <v>1197</v>
      </c>
      <c r="D15" s="5">
        <v>596</v>
      </c>
      <c r="E15" s="5" t="s">
        <v>3</v>
      </c>
      <c r="F15" s="6">
        <v>43322</v>
      </c>
      <c r="G15" s="5" t="s">
        <v>35</v>
      </c>
      <c r="H15" s="5" t="s">
        <v>5</v>
      </c>
      <c r="I15" s="5" t="s">
        <v>6</v>
      </c>
      <c r="J15" s="5" t="s">
        <v>0</v>
      </c>
      <c r="K15" s="5" t="s">
        <v>1</v>
      </c>
      <c r="L15" s="5" t="s">
        <v>2</v>
      </c>
      <c r="M15" s="5" t="s">
        <v>913</v>
      </c>
      <c r="N15" s="5" t="s">
        <v>36</v>
      </c>
      <c r="O15" s="5" t="s">
        <v>8</v>
      </c>
      <c r="P15" s="5" t="s">
        <v>9</v>
      </c>
      <c r="XFD15"/>
    </row>
    <row r="16" spans="1:16 16384:16384" s="5" customFormat="1">
      <c r="A16" s="5" t="s">
        <v>8</v>
      </c>
      <c r="B16" s="5" t="s">
        <v>1211</v>
      </c>
      <c r="C16" s="5" t="s">
        <v>1197</v>
      </c>
      <c r="D16" s="5">
        <v>598</v>
      </c>
      <c r="E16" s="5" t="s">
        <v>24</v>
      </c>
      <c r="F16" s="6">
        <v>43322</v>
      </c>
      <c r="G16" s="5" t="s">
        <v>37</v>
      </c>
      <c r="H16" s="5" t="s">
        <v>5</v>
      </c>
      <c r="I16" s="5" t="s">
        <v>6</v>
      </c>
      <c r="J16" s="5" t="s">
        <v>0</v>
      </c>
      <c r="K16" s="5" t="s">
        <v>1</v>
      </c>
      <c r="L16" s="5" t="s">
        <v>2</v>
      </c>
      <c r="M16" s="5" t="s">
        <v>913</v>
      </c>
      <c r="N16" s="5" t="s">
        <v>38</v>
      </c>
      <c r="O16" s="5" t="s">
        <v>8</v>
      </c>
      <c r="P16" s="5" t="s">
        <v>9</v>
      </c>
      <c r="XFD16"/>
    </row>
    <row r="17" spans="1:16 16384:16384" s="5" customFormat="1">
      <c r="A17" s="5" t="s">
        <v>8</v>
      </c>
      <c r="B17" s="5" t="s">
        <v>1212</v>
      </c>
      <c r="C17" s="5" t="s">
        <v>1197</v>
      </c>
      <c r="D17" s="5">
        <v>599</v>
      </c>
      <c r="E17" s="5" t="s">
        <v>3</v>
      </c>
      <c r="F17" s="6">
        <v>43325</v>
      </c>
      <c r="G17" s="5" t="s">
        <v>39</v>
      </c>
      <c r="H17" s="5" t="s">
        <v>5</v>
      </c>
      <c r="I17" s="5" t="s">
        <v>6</v>
      </c>
      <c r="J17" s="5" t="s">
        <v>0</v>
      </c>
      <c r="K17" s="5" t="s">
        <v>1</v>
      </c>
      <c r="L17" s="5" t="s">
        <v>2</v>
      </c>
      <c r="M17" s="5" t="s">
        <v>913</v>
      </c>
      <c r="N17" s="5" t="s">
        <v>40</v>
      </c>
      <c r="O17" s="5" t="s">
        <v>8</v>
      </c>
      <c r="P17" s="5" t="s">
        <v>9</v>
      </c>
      <c r="XFD17"/>
    </row>
    <row r="18" spans="1:16 16384:16384" s="5" customFormat="1">
      <c r="A18" s="5" t="s">
        <v>8</v>
      </c>
      <c r="B18" s="5" t="s">
        <v>1213</v>
      </c>
      <c r="C18" s="5" t="s">
        <v>1197</v>
      </c>
      <c r="D18" s="5">
        <v>601</v>
      </c>
      <c r="E18" s="5" t="s">
        <v>3</v>
      </c>
      <c r="F18" s="6">
        <v>43309</v>
      </c>
      <c r="G18" s="5" t="s">
        <v>41</v>
      </c>
      <c r="H18" s="5" t="s">
        <v>5</v>
      </c>
      <c r="I18" s="5" t="s">
        <v>6</v>
      </c>
      <c r="J18" s="5" t="s">
        <v>0</v>
      </c>
      <c r="K18" s="5" t="s">
        <v>1</v>
      </c>
      <c r="L18" s="5" t="s">
        <v>2</v>
      </c>
      <c r="M18" s="5" t="s">
        <v>913</v>
      </c>
      <c r="N18" s="5" t="s">
        <v>42</v>
      </c>
      <c r="O18" s="5" t="s">
        <v>8</v>
      </c>
      <c r="P18" s="5" t="s">
        <v>9</v>
      </c>
      <c r="XFD18"/>
    </row>
    <row r="19" spans="1:16 16384:16384" s="5" customFormat="1">
      <c r="A19" s="5" t="s">
        <v>8</v>
      </c>
      <c r="B19" s="5" t="s">
        <v>1214</v>
      </c>
      <c r="C19" s="5" t="s">
        <v>1197</v>
      </c>
      <c r="D19" s="5">
        <v>603</v>
      </c>
      <c r="E19" s="5" t="s">
        <v>3</v>
      </c>
      <c r="F19" s="6">
        <v>43317</v>
      </c>
      <c r="G19" s="5" t="s">
        <v>43</v>
      </c>
      <c r="H19" s="5" t="s">
        <v>5</v>
      </c>
      <c r="I19" s="5" t="s">
        <v>6</v>
      </c>
      <c r="J19" s="5" t="s">
        <v>0</v>
      </c>
      <c r="K19" s="5" t="s">
        <v>1</v>
      </c>
      <c r="L19" s="5" t="s">
        <v>2</v>
      </c>
      <c r="M19" s="5" t="s">
        <v>913</v>
      </c>
      <c r="N19" s="5" t="s">
        <v>44</v>
      </c>
      <c r="O19" s="5" t="s">
        <v>8</v>
      </c>
      <c r="P19" s="5" t="s">
        <v>9</v>
      </c>
      <c r="XFD19"/>
    </row>
    <row r="20" spans="1:16 16384:16384" s="5" customFormat="1">
      <c r="A20" s="5" t="s">
        <v>8</v>
      </c>
      <c r="B20" s="5" t="s">
        <v>1215</v>
      </c>
      <c r="C20" s="5" t="s">
        <v>1197</v>
      </c>
      <c r="D20" s="5">
        <v>607</v>
      </c>
      <c r="E20" s="5" t="s">
        <v>3</v>
      </c>
      <c r="F20" s="6">
        <v>43374</v>
      </c>
      <c r="G20" s="5" t="s">
        <v>45</v>
      </c>
      <c r="H20" s="5" t="s">
        <v>5</v>
      </c>
      <c r="I20" s="5" t="s">
        <v>6</v>
      </c>
      <c r="J20" s="5" t="s">
        <v>0</v>
      </c>
      <c r="K20" s="5" t="s">
        <v>1</v>
      </c>
      <c r="L20" s="5" t="s">
        <v>2</v>
      </c>
      <c r="M20" s="5" t="s">
        <v>913</v>
      </c>
      <c r="N20" s="5" t="s">
        <v>46</v>
      </c>
      <c r="O20" s="5" t="s">
        <v>8</v>
      </c>
      <c r="P20" s="5" t="s">
        <v>9</v>
      </c>
      <c r="XFD20"/>
    </row>
    <row r="21" spans="1:16 16384:16384" s="5" customFormat="1">
      <c r="A21" s="5" t="s">
        <v>8</v>
      </c>
      <c r="B21" s="5" t="s">
        <v>1216</v>
      </c>
      <c r="C21" s="5" t="s">
        <v>1197</v>
      </c>
      <c r="D21" s="5">
        <v>610</v>
      </c>
      <c r="E21" s="5" t="s">
        <v>3</v>
      </c>
      <c r="F21" s="6">
        <v>43317</v>
      </c>
      <c r="G21" s="5" t="s">
        <v>47</v>
      </c>
      <c r="H21" s="5" t="s">
        <v>5</v>
      </c>
      <c r="I21" s="5" t="s">
        <v>6</v>
      </c>
      <c r="J21" s="5" t="s">
        <v>0</v>
      </c>
      <c r="K21" s="5" t="s">
        <v>1</v>
      </c>
      <c r="L21" s="5" t="s">
        <v>2</v>
      </c>
      <c r="M21" s="5" t="s">
        <v>913</v>
      </c>
      <c r="N21" s="5" t="s">
        <v>48</v>
      </c>
      <c r="O21" s="5" t="s">
        <v>8</v>
      </c>
      <c r="P21" s="5" t="s">
        <v>9</v>
      </c>
      <c r="XFD21"/>
    </row>
    <row r="22" spans="1:16 16384:16384" s="5" customFormat="1">
      <c r="A22" s="5" t="s">
        <v>8</v>
      </c>
      <c r="B22" s="5" t="s">
        <v>1217</v>
      </c>
      <c r="C22" s="5" t="s">
        <v>1197</v>
      </c>
      <c r="D22" s="5">
        <v>612</v>
      </c>
      <c r="E22" s="5" t="s">
        <v>3</v>
      </c>
      <c r="F22" s="6">
        <v>43317</v>
      </c>
      <c r="G22" s="5" t="s">
        <v>49</v>
      </c>
      <c r="H22" s="5" t="s">
        <v>5</v>
      </c>
      <c r="I22" s="5" t="s">
        <v>6</v>
      </c>
      <c r="J22" s="5" t="s">
        <v>0</v>
      </c>
      <c r="K22" s="5" t="s">
        <v>1</v>
      </c>
      <c r="L22" s="5" t="s">
        <v>2</v>
      </c>
      <c r="M22" s="5" t="s">
        <v>913</v>
      </c>
      <c r="N22" s="5" t="s">
        <v>50</v>
      </c>
      <c r="O22" s="5" t="s">
        <v>8</v>
      </c>
      <c r="P22" s="5" t="s">
        <v>9</v>
      </c>
      <c r="XFD22"/>
    </row>
    <row r="23" spans="1:16 16384:16384" s="5" customFormat="1">
      <c r="A23" s="5" t="s">
        <v>8</v>
      </c>
      <c r="B23" s="5" t="s">
        <v>1218</v>
      </c>
      <c r="C23" s="5" t="s">
        <v>1197</v>
      </c>
      <c r="D23" s="5">
        <v>617</v>
      </c>
      <c r="E23" s="5" t="s">
        <v>3</v>
      </c>
      <c r="F23" s="6">
        <v>43324</v>
      </c>
      <c r="G23" s="5" t="s">
        <v>51</v>
      </c>
      <c r="H23" s="5" t="s">
        <v>5</v>
      </c>
      <c r="I23" s="5" t="s">
        <v>6</v>
      </c>
      <c r="J23" s="5" t="s">
        <v>0</v>
      </c>
      <c r="K23" s="5" t="s">
        <v>1</v>
      </c>
      <c r="L23" s="5" t="s">
        <v>2</v>
      </c>
      <c r="M23" s="5" t="s">
        <v>913</v>
      </c>
      <c r="N23" s="5" t="s">
        <v>52</v>
      </c>
      <c r="O23" s="5" t="s">
        <v>8</v>
      </c>
      <c r="P23" s="5" t="s">
        <v>9</v>
      </c>
      <c r="XFD23"/>
    </row>
    <row r="24" spans="1:16 16384:16384" s="5" customFormat="1">
      <c r="A24" s="5" t="s">
        <v>8</v>
      </c>
      <c r="B24" s="5" t="s">
        <v>1219</v>
      </c>
      <c r="C24" s="5" t="s">
        <v>1197</v>
      </c>
      <c r="D24" s="5">
        <v>618</v>
      </c>
      <c r="E24" s="5" t="s">
        <v>3</v>
      </c>
      <c r="F24" s="6">
        <v>43322</v>
      </c>
      <c r="G24" s="5" t="s">
        <v>53</v>
      </c>
      <c r="H24" s="5" t="s">
        <v>5</v>
      </c>
      <c r="I24" s="5" t="s">
        <v>6</v>
      </c>
      <c r="J24" s="5" t="s">
        <v>0</v>
      </c>
      <c r="K24" s="5" t="s">
        <v>1</v>
      </c>
      <c r="L24" s="5" t="s">
        <v>2</v>
      </c>
      <c r="M24" s="5" t="s">
        <v>913</v>
      </c>
      <c r="N24" s="5" t="s">
        <v>54</v>
      </c>
      <c r="O24" s="5" t="s">
        <v>8</v>
      </c>
      <c r="P24" s="5" t="s">
        <v>9</v>
      </c>
      <c r="XFD24"/>
    </row>
    <row r="25" spans="1:16 16384:16384" s="5" customFormat="1">
      <c r="A25" s="5" t="s">
        <v>8</v>
      </c>
      <c r="B25" s="5" t="s">
        <v>1220</v>
      </c>
      <c r="C25" s="5" t="s">
        <v>1197</v>
      </c>
      <c r="D25" s="5">
        <v>619</v>
      </c>
      <c r="E25" s="5" t="s">
        <v>3</v>
      </c>
      <c r="F25" s="6">
        <v>43317</v>
      </c>
      <c r="G25" s="5" t="s">
        <v>55</v>
      </c>
      <c r="H25" s="5" t="s">
        <v>5</v>
      </c>
      <c r="I25" s="5" t="s">
        <v>6</v>
      </c>
      <c r="J25" s="5" t="s">
        <v>0</v>
      </c>
      <c r="K25" s="5" t="s">
        <v>1</v>
      </c>
      <c r="L25" s="5" t="s">
        <v>2</v>
      </c>
      <c r="M25" s="5" t="s">
        <v>913</v>
      </c>
      <c r="N25" s="5" t="s">
        <v>56</v>
      </c>
      <c r="O25" s="5" t="s">
        <v>8</v>
      </c>
      <c r="P25" s="5" t="s">
        <v>9</v>
      </c>
      <c r="XFD25"/>
    </row>
    <row r="26" spans="1:16 16384:16384" s="5" customFormat="1">
      <c r="A26" s="5" t="s">
        <v>8</v>
      </c>
      <c r="B26" s="5" t="s">
        <v>1221</v>
      </c>
      <c r="C26" s="5" t="s">
        <v>1197</v>
      </c>
      <c r="D26" s="5">
        <v>625</v>
      </c>
      <c r="E26" s="5" t="s">
        <v>3</v>
      </c>
      <c r="F26" s="6">
        <v>43374</v>
      </c>
      <c r="G26" s="5" t="s">
        <v>57</v>
      </c>
      <c r="H26" s="5" t="s">
        <v>5</v>
      </c>
      <c r="I26" s="5" t="s">
        <v>6</v>
      </c>
      <c r="J26" s="5" t="s">
        <v>0</v>
      </c>
      <c r="K26" s="5" t="s">
        <v>1</v>
      </c>
      <c r="L26" s="5" t="s">
        <v>2</v>
      </c>
      <c r="M26" s="5" t="s">
        <v>913</v>
      </c>
      <c r="N26" s="5" t="s">
        <v>58</v>
      </c>
      <c r="O26" s="5" t="s">
        <v>8</v>
      </c>
      <c r="P26" s="5" t="s">
        <v>9</v>
      </c>
      <c r="XFD26"/>
    </row>
    <row r="27" spans="1:16 16384:16384" s="5" customFormat="1">
      <c r="A27" s="5" t="s">
        <v>8</v>
      </c>
      <c r="B27" s="5" t="s">
        <v>1222</v>
      </c>
      <c r="C27" s="5" t="s">
        <v>1197</v>
      </c>
      <c r="D27" s="5">
        <v>628</v>
      </c>
      <c r="E27" s="5" t="s">
        <v>3</v>
      </c>
      <c r="F27" s="6">
        <v>43374</v>
      </c>
      <c r="G27" s="5" t="s">
        <v>59</v>
      </c>
      <c r="H27" s="5" t="s">
        <v>5</v>
      </c>
      <c r="I27" s="5" t="s">
        <v>6</v>
      </c>
      <c r="J27" s="5" t="s">
        <v>0</v>
      </c>
      <c r="K27" s="5" t="s">
        <v>1</v>
      </c>
      <c r="L27" s="5" t="s">
        <v>2</v>
      </c>
      <c r="M27" s="5" t="s">
        <v>913</v>
      </c>
      <c r="N27" s="5" t="s">
        <v>60</v>
      </c>
      <c r="O27" s="5" t="s">
        <v>8</v>
      </c>
      <c r="P27" s="5" t="s">
        <v>9</v>
      </c>
      <c r="XFD27"/>
    </row>
    <row r="28" spans="1:16 16384:16384" s="5" customFormat="1">
      <c r="A28" s="5" t="s">
        <v>8</v>
      </c>
      <c r="B28" s="5" t="s">
        <v>1223</v>
      </c>
      <c r="C28" s="5" t="s">
        <v>1197</v>
      </c>
      <c r="D28" s="5">
        <v>632</v>
      </c>
      <c r="E28" s="5" t="s">
        <v>3</v>
      </c>
      <c r="F28" s="6">
        <v>43322</v>
      </c>
      <c r="G28" s="5" t="s">
        <v>61</v>
      </c>
      <c r="H28" s="5" t="s">
        <v>5</v>
      </c>
      <c r="I28" s="5" t="s">
        <v>6</v>
      </c>
      <c r="J28" s="5" t="s">
        <v>0</v>
      </c>
      <c r="K28" s="5" t="s">
        <v>1</v>
      </c>
      <c r="L28" s="5" t="s">
        <v>2</v>
      </c>
      <c r="M28" s="5" t="s">
        <v>913</v>
      </c>
      <c r="N28" s="5" t="s">
        <v>62</v>
      </c>
      <c r="O28" s="5" t="s">
        <v>8</v>
      </c>
      <c r="P28" s="5" t="s">
        <v>9</v>
      </c>
      <c r="XFD28"/>
    </row>
    <row r="29" spans="1:16 16384:16384" s="5" customFormat="1">
      <c r="A29" s="5" t="s">
        <v>8</v>
      </c>
      <c r="B29" s="5" t="s">
        <v>1224</v>
      </c>
      <c r="C29" s="5" t="s">
        <v>1197</v>
      </c>
      <c r="D29" s="5">
        <v>636</v>
      </c>
      <c r="E29" s="5" t="s">
        <v>3</v>
      </c>
      <c r="F29" s="6">
        <v>43211</v>
      </c>
      <c r="G29" s="5" t="s">
        <v>63</v>
      </c>
      <c r="H29" s="5" t="s">
        <v>5</v>
      </c>
      <c r="I29" s="5" t="s">
        <v>6</v>
      </c>
      <c r="J29" s="5" t="s">
        <v>0</v>
      </c>
      <c r="K29" s="5" t="s">
        <v>1</v>
      </c>
      <c r="L29" s="5" t="s">
        <v>2</v>
      </c>
      <c r="M29" s="5" t="s">
        <v>913</v>
      </c>
      <c r="N29" s="5" t="s">
        <v>64</v>
      </c>
      <c r="O29" s="5" t="s">
        <v>8</v>
      </c>
      <c r="P29" s="5" t="s">
        <v>9</v>
      </c>
      <c r="XFD29"/>
    </row>
    <row r="30" spans="1:16 16384:16384" s="5" customFormat="1">
      <c r="A30" s="5" t="s">
        <v>8</v>
      </c>
      <c r="B30" s="5" t="s">
        <v>1225</v>
      </c>
      <c r="C30" s="5" t="s">
        <v>1197</v>
      </c>
      <c r="D30" s="5">
        <v>92729</v>
      </c>
      <c r="E30" s="5" t="s">
        <v>3</v>
      </c>
      <c r="F30" s="6">
        <v>43325</v>
      </c>
      <c r="G30" s="5" t="s">
        <v>550</v>
      </c>
      <c r="H30" s="5" t="s">
        <v>5</v>
      </c>
      <c r="I30" s="5" t="s">
        <v>6</v>
      </c>
      <c r="J30" s="5" t="s">
        <v>0</v>
      </c>
      <c r="K30" s="5" t="s">
        <v>1</v>
      </c>
      <c r="L30" s="5" t="s">
        <v>2</v>
      </c>
      <c r="M30" s="5" t="s">
        <v>913</v>
      </c>
      <c r="N30" s="5" t="s">
        <v>551</v>
      </c>
      <c r="O30" s="5" t="s">
        <v>8</v>
      </c>
      <c r="P30" s="5" t="s">
        <v>9</v>
      </c>
      <c r="XFD30"/>
    </row>
    <row r="31" spans="1:16 16384:16384" s="5" customFormat="1">
      <c r="A31" s="5" t="s">
        <v>8</v>
      </c>
      <c r="B31" s="5" t="s">
        <v>1226</v>
      </c>
      <c r="C31" s="5" t="s">
        <v>1197</v>
      </c>
      <c r="D31" s="5">
        <v>92731</v>
      </c>
      <c r="E31" s="5" t="s">
        <v>3</v>
      </c>
      <c r="F31" s="6">
        <v>43322</v>
      </c>
      <c r="G31" s="5" t="s">
        <v>552</v>
      </c>
      <c r="H31" s="5" t="s">
        <v>5</v>
      </c>
      <c r="I31" s="5" t="s">
        <v>6</v>
      </c>
      <c r="J31" s="5" t="s">
        <v>0</v>
      </c>
      <c r="K31" s="5" t="s">
        <v>1</v>
      </c>
      <c r="L31" s="5" t="s">
        <v>2</v>
      </c>
      <c r="M31" s="5" t="s">
        <v>913</v>
      </c>
      <c r="N31" s="5" t="s">
        <v>553</v>
      </c>
      <c r="O31" s="5" t="s">
        <v>8</v>
      </c>
      <c r="P31" s="5" t="s">
        <v>9</v>
      </c>
      <c r="XFD31"/>
    </row>
    <row r="32" spans="1:16 16384:16384" s="5" customFormat="1">
      <c r="A32" s="5" t="s">
        <v>8</v>
      </c>
      <c r="B32" s="5" t="s">
        <v>1227</v>
      </c>
      <c r="C32" s="5" t="s">
        <v>1197</v>
      </c>
      <c r="D32" s="5">
        <v>92732</v>
      </c>
      <c r="E32" s="5" t="s">
        <v>65</v>
      </c>
      <c r="F32" s="6">
        <v>43322</v>
      </c>
      <c r="G32" s="5" t="s">
        <v>554</v>
      </c>
      <c r="H32" s="5" t="s">
        <v>5</v>
      </c>
      <c r="I32" s="5" t="s">
        <v>6</v>
      </c>
      <c r="J32" s="5" t="s">
        <v>0</v>
      </c>
      <c r="K32" s="5" t="s">
        <v>1</v>
      </c>
      <c r="L32" s="5" t="s">
        <v>2</v>
      </c>
      <c r="M32" s="5" t="s">
        <v>913</v>
      </c>
      <c r="N32" s="5" t="s">
        <v>555</v>
      </c>
      <c r="O32" s="5" t="s">
        <v>8</v>
      </c>
      <c r="P32" s="5" t="s">
        <v>9</v>
      </c>
      <c r="XFD32"/>
    </row>
    <row r="33" spans="1:16 16384:16384" s="5" customFormat="1">
      <c r="A33" s="5" t="s">
        <v>8</v>
      </c>
      <c r="B33" s="5" t="s">
        <v>1228</v>
      </c>
      <c r="C33" s="5" t="s">
        <v>1197</v>
      </c>
      <c r="D33" s="5">
        <v>92736</v>
      </c>
      <c r="E33" s="5" t="s">
        <v>65</v>
      </c>
      <c r="F33" s="6">
        <v>43322</v>
      </c>
      <c r="G33" s="5" t="s">
        <v>556</v>
      </c>
      <c r="H33" s="5" t="s">
        <v>5</v>
      </c>
      <c r="I33" s="5" t="s">
        <v>6</v>
      </c>
      <c r="J33" s="5" t="s">
        <v>0</v>
      </c>
      <c r="K33" s="5" t="s">
        <v>1</v>
      </c>
      <c r="L33" s="5" t="s">
        <v>2</v>
      </c>
      <c r="M33" s="5" t="s">
        <v>913</v>
      </c>
      <c r="N33" s="5" t="s">
        <v>557</v>
      </c>
      <c r="O33" s="5" t="s">
        <v>8</v>
      </c>
      <c r="P33" s="5" t="s">
        <v>9</v>
      </c>
      <c r="XFD33"/>
    </row>
    <row r="34" spans="1:16 16384:16384" s="5" customFormat="1">
      <c r="A34" s="5" t="s">
        <v>8</v>
      </c>
      <c r="B34" s="5" t="s">
        <v>1229</v>
      </c>
      <c r="C34" s="5" t="s">
        <v>1197</v>
      </c>
      <c r="D34" s="5">
        <v>92737</v>
      </c>
      <c r="E34" s="5" t="s">
        <v>24</v>
      </c>
      <c r="F34" s="6">
        <v>43322</v>
      </c>
      <c r="G34" s="5" t="s">
        <v>558</v>
      </c>
      <c r="H34" s="5" t="s">
        <v>5</v>
      </c>
      <c r="I34" s="5" t="s">
        <v>6</v>
      </c>
      <c r="J34" s="5" t="s">
        <v>0</v>
      </c>
      <c r="K34" s="5" t="s">
        <v>1</v>
      </c>
      <c r="L34" s="5" t="s">
        <v>2</v>
      </c>
      <c r="M34" s="5" t="s">
        <v>913</v>
      </c>
      <c r="N34" s="5" t="s">
        <v>559</v>
      </c>
      <c r="O34" s="5" t="s">
        <v>8</v>
      </c>
      <c r="P34" s="5" t="s">
        <v>9</v>
      </c>
      <c r="XFD34"/>
    </row>
    <row r="35" spans="1:16 16384:16384" s="5" customFormat="1">
      <c r="A35" s="5" t="s">
        <v>8</v>
      </c>
      <c r="B35" s="5" t="s">
        <v>1230</v>
      </c>
      <c r="C35" s="5" t="s">
        <v>1197</v>
      </c>
      <c r="D35" s="5">
        <v>92740</v>
      </c>
      <c r="E35" s="5" t="s">
        <v>86</v>
      </c>
      <c r="F35" s="6">
        <v>43322</v>
      </c>
      <c r="G35" s="5" t="s">
        <v>560</v>
      </c>
      <c r="H35" s="5" t="s">
        <v>5</v>
      </c>
      <c r="I35" s="5" t="s">
        <v>6</v>
      </c>
      <c r="J35" s="5" t="s">
        <v>0</v>
      </c>
      <c r="K35" s="5" t="s">
        <v>1</v>
      </c>
      <c r="L35" s="5" t="s">
        <v>2</v>
      </c>
      <c r="M35" s="5" t="s">
        <v>913</v>
      </c>
      <c r="N35" s="5" t="s">
        <v>561</v>
      </c>
      <c r="O35" s="5" t="s">
        <v>8</v>
      </c>
      <c r="P35" s="5" t="s">
        <v>9</v>
      </c>
      <c r="XFD35"/>
    </row>
    <row r="36" spans="1:16 16384:16384" s="5" customFormat="1">
      <c r="A36" s="5" t="s">
        <v>8</v>
      </c>
      <c r="B36" s="5" t="s">
        <v>1231</v>
      </c>
      <c r="C36" s="5" t="s">
        <v>1197</v>
      </c>
      <c r="D36" s="5">
        <v>92741</v>
      </c>
      <c r="E36" s="5" t="s">
        <v>24</v>
      </c>
      <c r="F36" s="6">
        <v>43310</v>
      </c>
      <c r="G36" s="5" t="s">
        <v>562</v>
      </c>
      <c r="H36" s="5" t="s">
        <v>5</v>
      </c>
      <c r="I36" s="5" t="s">
        <v>6</v>
      </c>
      <c r="J36" s="5" t="s">
        <v>0</v>
      </c>
      <c r="K36" s="5" t="s">
        <v>1</v>
      </c>
      <c r="L36" s="5" t="s">
        <v>2</v>
      </c>
      <c r="M36" s="5" t="s">
        <v>913</v>
      </c>
      <c r="N36" s="5" t="s">
        <v>563</v>
      </c>
      <c r="O36" s="5" t="s">
        <v>8</v>
      </c>
      <c r="P36" s="5" t="s">
        <v>9</v>
      </c>
      <c r="XFD36"/>
    </row>
    <row r="37" spans="1:16 16384:16384" s="5" customFormat="1">
      <c r="A37" s="5" t="s">
        <v>8</v>
      </c>
      <c r="B37" s="5" t="s">
        <v>1232</v>
      </c>
      <c r="C37" s="5" t="s">
        <v>1197</v>
      </c>
      <c r="D37" s="5">
        <v>92742</v>
      </c>
      <c r="E37" s="5" t="s">
        <v>3</v>
      </c>
      <c r="F37" s="6">
        <v>43244</v>
      </c>
      <c r="G37" s="5" t="s">
        <v>564</v>
      </c>
      <c r="H37" s="5" t="s">
        <v>5</v>
      </c>
      <c r="I37" s="5" t="s">
        <v>6</v>
      </c>
      <c r="J37" s="5" t="s">
        <v>0</v>
      </c>
      <c r="K37" s="5" t="s">
        <v>1</v>
      </c>
      <c r="L37" s="5" t="s">
        <v>2</v>
      </c>
      <c r="M37" s="5" t="s">
        <v>913</v>
      </c>
      <c r="N37" s="5" t="s">
        <v>565</v>
      </c>
      <c r="O37" s="5" t="s">
        <v>8</v>
      </c>
      <c r="P37" s="5" t="s">
        <v>9</v>
      </c>
      <c r="XFD37"/>
    </row>
    <row r="38" spans="1:16 16384:16384" s="5" customFormat="1">
      <c r="A38" s="5" t="s">
        <v>8</v>
      </c>
      <c r="B38" s="5" t="s">
        <v>1233</v>
      </c>
      <c r="C38" s="5" t="s">
        <v>1197</v>
      </c>
      <c r="D38" s="5">
        <v>92743</v>
      </c>
      <c r="E38" s="5" t="s">
        <v>24</v>
      </c>
      <c r="F38" s="6">
        <v>43340</v>
      </c>
      <c r="G38" s="5" t="s">
        <v>566</v>
      </c>
      <c r="H38" s="5" t="s">
        <v>5</v>
      </c>
      <c r="I38" s="5" t="s">
        <v>6</v>
      </c>
      <c r="J38" s="5" t="s">
        <v>0</v>
      </c>
      <c r="K38" s="5" t="s">
        <v>1</v>
      </c>
      <c r="L38" s="5" t="s">
        <v>2</v>
      </c>
      <c r="M38" s="5" t="s">
        <v>913</v>
      </c>
      <c r="N38" s="5" t="s">
        <v>567</v>
      </c>
      <c r="O38" s="5" t="s">
        <v>8</v>
      </c>
      <c r="P38" s="5" t="s">
        <v>9</v>
      </c>
      <c r="XFD38"/>
    </row>
    <row r="39" spans="1:16 16384:16384" s="5" customFormat="1">
      <c r="A39" s="5" t="s">
        <v>8</v>
      </c>
      <c r="B39" s="5" t="s">
        <v>1234</v>
      </c>
      <c r="C39" s="5" t="s">
        <v>1197</v>
      </c>
      <c r="D39" s="5">
        <v>92744</v>
      </c>
      <c r="E39" s="5" t="s">
        <v>3</v>
      </c>
      <c r="F39" s="6">
        <v>43309</v>
      </c>
      <c r="G39" s="5" t="s">
        <v>568</v>
      </c>
      <c r="H39" s="5" t="s">
        <v>5</v>
      </c>
      <c r="I39" s="5" t="s">
        <v>6</v>
      </c>
      <c r="J39" s="5" t="s">
        <v>0</v>
      </c>
      <c r="K39" s="5" t="s">
        <v>1</v>
      </c>
      <c r="L39" s="5" t="s">
        <v>2</v>
      </c>
      <c r="M39" s="5" t="s">
        <v>913</v>
      </c>
      <c r="N39" s="5" t="s">
        <v>569</v>
      </c>
      <c r="O39" s="5" t="s">
        <v>8</v>
      </c>
      <c r="P39" s="5" t="s">
        <v>9</v>
      </c>
      <c r="XFD39"/>
    </row>
    <row r="40" spans="1:16 16384:16384" s="5" customFormat="1">
      <c r="A40" s="5" t="s">
        <v>8</v>
      </c>
      <c r="B40" s="5" t="s">
        <v>1235</v>
      </c>
      <c r="C40" s="5" t="s">
        <v>1197</v>
      </c>
      <c r="D40" s="5">
        <v>92746</v>
      </c>
      <c r="E40" s="5" t="s">
        <v>3</v>
      </c>
      <c r="F40" s="6">
        <v>43322</v>
      </c>
      <c r="G40" s="5" t="s">
        <v>570</v>
      </c>
      <c r="H40" s="5" t="s">
        <v>5</v>
      </c>
      <c r="I40" s="5" t="s">
        <v>6</v>
      </c>
      <c r="J40" s="5" t="s">
        <v>0</v>
      </c>
      <c r="K40" s="5" t="s">
        <v>1</v>
      </c>
      <c r="L40" s="5" t="s">
        <v>2</v>
      </c>
      <c r="M40" s="5" t="s">
        <v>913</v>
      </c>
      <c r="N40" s="5" t="s">
        <v>571</v>
      </c>
      <c r="O40" s="5" t="s">
        <v>8</v>
      </c>
      <c r="P40" s="5" t="s">
        <v>9</v>
      </c>
      <c r="XFD40"/>
    </row>
    <row r="41" spans="1:16 16384:16384" s="5" customFormat="1">
      <c r="A41" s="5" t="s">
        <v>8</v>
      </c>
      <c r="B41" s="5" t="s">
        <v>1236</v>
      </c>
      <c r="C41" s="5" t="s">
        <v>1197</v>
      </c>
      <c r="D41" s="5">
        <v>92747</v>
      </c>
      <c r="E41" s="5" t="s">
        <v>3</v>
      </c>
      <c r="F41" s="6">
        <v>43374</v>
      </c>
      <c r="G41" s="5" t="s">
        <v>572</v>
      </c>
      <c r="H41" s="5" t="s">
        <v>5</v>
      </c>
      <c r="I41" s="5" t="s">
        <v>6</v>
      </c>
      <c r="J41" s="5" t="s">
        <v>0</v>
      </c>
      <c r="K41" s="5" t="s">
        <v>1</v>
      </c>
      <c r="L41" s="5" t="s">
        <v>2</v>
      </c>
      <c r="M41" s="5" t="s">
        <v>913</v>
      </c>
      <c r="N41" s="5" t="s">
        <v>573</v>
      </c>
      <c r="O41" s="5" t="s">
        <v>8</v>
      </c>
      <c r="P41" s="5" t="s">
        <v>9</v>
      </c>
      <c r="XFD41"/>
    </row>
    <row r="42" spans="1:16 16384:16384" s="5" customFormat="1">
      <c r="A42" s="5" t="s">
        <v>8</v>
      </c>
      <c r="B42" s="5" t="s">
        <v>1237</v>
      </c>
      <c r="C42" s="5" t="s">
        <v>1197</v>
      </c>
      <c r="D42" s="5">
        <v>92748</v>
      </c>
      <c r="E42" s="5" t="s">
        <v>65</v>
      </c>
      <c r="F42" s="6">
        <v>43214</v>
      </c>
      <c r="G42" s="5" t="s">
        <v>574</v>
      </c>
      <c r="H42" s="5" t="s">
        <v>5</v>
      </c>
      <c r="I42" s="5" t="s">
        <v>6</v>
      </c>
      <c r="J42" s="5" t="s">
        <v>0</v>
      </c>
      <c r="K42" s="5" t="s">
        <v>1</v>
      </c>
      <c r="L42" s="5" t="s">
        <v>2</v>
      </c>
      <c r="M42" s="5" t="s">
        <v>913</v>
      </c>
      <c r="N42" s="5" t="s">
        <v>575</v>
      </c>
      <c r="O42" s="5" t="s">
        <v>8</v>
      </c>
      <c r="P42" s="5" t="s">
        <v>9</v>
      </c>
      <c r="XFD42"/>
    </row>
    <row r="43" spans="1:16 16384:16384" s="5" customFormat="1">
      <c r="A43" s="5" t="s">
        <v>8</v>
      </c>
      <c r="B43" s="5" t="s">
        <v>1238</v>
      </c>
      <c r="C43" s="5" t="s">
        <v>1197</v>
      </c>
      <c r="D43" s="5">
        <v>92749</v>
      </c>
      <c r="E43" s="5" t="s">
        <v>24</v>
      </c>
      <c r="F43" s="6">
        <v>43322</v>
      </c>
      <c r="G43" s="5" t="s">
        <v>576</v>
      </c>
      <c r="H43" s="5" t="s">
        <v>5</v>
      </c>
      <c r="I43" s="5" t="s">
        <v>6</v>
      </c>
      <c r="J43" s="5" t="s">
        <v>0</v>
      </c>
      <c r="K43" s="5" t="s">
        <v>1</v>
      </c>
      <c r="L43" s="5" t="s">
        <v>2</v>
      </c>
      <c r="M43" s="5" t="s">
        <v>913</v>
      </c>
      <c r="N43" s="5" t="s">
        <v>577</v>
      </c>
      <c r="O43" s="5" t="s">
        <v>8</v>
      </c>
      <c r="P43" s="5" t="s">
        <v>9</v>
      </c>
      <c r="XFD43"/>
    </row>
    <row r="44" spans="1:16 16384:16384" s="5" customFormat="1">
      <c r="A44" s="5" t="s">
        <v>8</v>
      </c>
      <c r="B44" s="5" t="s">
        <v>1239</v>
      </c>
      <c r="C44" s="5" t="s">
        <v>1197</v>
      </c>
      <c r="D44" s="5">
        <v>92751</v>
      </c>
      <c r="E44" s="5" t="s">
        <v>3</v>
      </c>
      <c r="F44" s="6">
        <v>43322</v>
      </c>
      <c r="G44" s="5" t="s">
        <v>578</v>
      </c>
      <c r="H44" s="5" t="s">
        <v>5</v>
      </c>
      <c r="I44" s="5" t="s">
        <v>6</v>
      </c>
      <c r="J44" s="5" t="s">
        <v>0</v>
      </c>
      <c r="K44" s="5" t="s">
        <v>1</v>
      </c>
      <c r="L44" s="5" t="s">
        <v>2</v>
      </c>
      <c r="M44" s="5" t="s">
        <v>913</v>
      </c>
      <c r="N44" s="5" t="s">
        <v>579</v>
      </c>
      <c r="O44" s="5" t="s">
        <v>8</v>
      </c>
      <c r="P44" s="5" t="s">
        <v>9</v>
      </c>
      <c r="XFD44"/>
    </row>
    <row r="45" spans="1:16 16384:16384" s="5" customFormat="1">
      <c r="A45" s="5" t="s">
        <v>8</v>
      </c>
      <c r="B45" s="5" t="s">
        <v>1240</v>
      </c>
      <c r="C45" s="5" t="s">
        <v>1197</v>
      </c>
      <c r="D45" s="5">
        <v>92752</v>
      </c>
      <c r="E45" s="5" t="s">
        <v>3</v>
      </c>
      <c r="F45" s="6">
        <v>43322</v>
      </c>
      <c r="G45" s="5" t="s">
        <v>580</v>
      </c>
      <c r="H45" s="5" t="s">
        <v>5</v>
      </c>
      <c r="I45" s="5" t="s">
        <v>6</v>
      </c>
      <c r="J45" s="5" t="s">
        <v>0</v>
      </c>
      <c r="K45" s="5" t="s">
        <v>1</v>
      </c>
      <c r="L45" s="5" t="s">
        <v>2</v>
      </c>
      <c r="M45" s="5" t="s">
        <v>913</v>
      </c>
      <c r="N45" s="5" t="s">
        <v>581</v>
      </c>
      <c r="O45" s="5" t="s">
        <v>8</v>
      </c>
      <c r="P45" s="5" t="s">
        <v>9</v>
      </c>
      <c r="XFD45"/>
    </row>
    <row r="46" spans="1:16 16384:16384" s="5" customFormat="1">
      <c r="A46" s="5" t="s">
        <v>8</v>
      </c>
      <c r="B46" s="5" t="s">
        <v>1241</v>
      </c>
      <c r="C46" s="5" t="s">
        <v>1197</v>
      </c>
      <c r="D46" s="5">
        <v>92753</v>
      </c>
      <c r="E46" s="5" t="s">
        <v>3</v>
      </c>
      <c r="F46" s="6">
        <v>43322</v>
      </c>
      <c r="G46" s="5" t="s">
        <v>582</v>
      </c>
      <c r="H46" s="5" t="s">
        <v>5</v>
      </c>
      <c r="I46" s="5" t="s">
        <v>6</v>
      </c>
      <c r="J46" s="5" t="s">
        <v>0</v>
      </c>
      <c r="K46" s="5" t="s">
        <v>1</v>
      </c>
      <c r="L46" s="5" t="s">
        <v>2</v>
      </c>
      <c r="M46" s="5" t="s">
        <v>913</v>
      </c>
      <c r="N46" s="5" t="s">
        <v>583</v>
      </c>
      <c r="O46" s="5" t="s">
        <v>8</v>
      </c>
      <c r="P46" s="5" t="s">
        <v>9</v>
      </c>
      <c r="XFD46"/>
    </row>
    <row r="47" spans="1:16 16384:16384" s="5" customFormat="1">
      <c r="A47" s="5" t="s">
        <v>8</v>
      </c>
      <c r="B47" s="5" t="s">
        <v>1242</v>
      </c>
      <c r="C47" s="5" t="s">
        <v>1197</v>
      </c>
      <c r="D47" s="5">
        <v>92755</v>
      </c>
      <c r="E47" s="5" t="s">
        <v>65</v>
      </c>
      <c r="F47" s="6">
        <v>43322</v>
      </c>
      <c r="G47" s="5" t="s">
        <v>584</v>
      </c>
      <c r="H47" s="5" t="s">
        <v>5</v>
      </c>
      <c r="I47" s="5" t="s">
        <v>6</v>
      </c>
      <c r="J47" s="5" t="s">
        <v>0</v>
      </c>
      <c r="K47" s="5" t="s">
        <v>1</v>
      </c>
      <c r="L47" s="5" t="s">
        <v>2</v>
      </c>
      <c r="M47" s="5" t="s">
        <v>913</v>
      </c>
      <c r="N47" s="5" t="s">
        <v>585</v>
      </c>
      <c r="O47" s="5" t="s">
        <v>8</v>
      </c>
      <c r="P47" s="5" t="s">
        <v>9</v>
      </c>
      <c r="XFD47"/>
    </row>
    <row r="48" spans="1:16 16384:16384" s="5" customFormat="1">
      <c r="A48" s="5" t="s">
        <v>8</v>
      </c>
      <c r="B48" s="5" t="s">
        <v>1243</v>
      </c>
      <c r="C48" s="5" t="s">
        <v>1197</v>
      </c>
      <c r="D48" s="5">
        <v>102475</v>
      </c>
      <c r="E48" s="5" t="s">
        <v>3</v>
      </c>
      <c r="F48" s="6">
        <v>43322</v>
      </c>
      <c r="G48" s="5" t="s">
        <v>602</v>
      </c>
      <c r="H48" s="5" t="s">
        <v>5</v>
      </c>
      <c r="I48" s="5" t="s">
        <v>6</v>
      </c>
      <c r="J48" s="5" t="s">
        <v>0</v>
      </c>
      <c r="K48" s="5" t="s">
        <v>1</v>
      </c>
      <c r="L48" s="5" t="s">
        <v>2</v>
      </c>
      <c r="M48" s="5" t="s">
        <v>913</v>
      </c>
      <c r="N48" s="5" t="s">
        <v>603</v>
      </c>
      <c r="O48" s="5" t="s">
        <v>8</v>
      </c>
      <c r="P48" s="5" t="s">
        <v>9</v>
      </c>
      <c r="XFD48"/>
    </row>
    <row r="49" spans="1:16 16384:16384" s="5" customFormat="1">
      <c r="A49" s="5" t="s">
        <v>8</v>
      </c>
      <c r="B49" s="5" t="s">
        <v>1244</v>
      </c>
      <c r="C49" s="5" t="s">
        <v>1197</v>
      </c>
      <c r="D49" s="5">
        <v>102483</v>
      </c>
      <c r="E49" s="5" t="s">
        <v>24</v>
      </c>
      <c r="F49" s="6">
        <v>43322</v>
      </c>
      <c r="G49" s="5" t="s">
        <v>604</v>
      </c>
      <c r="H49" s="5" t="s">
        <v>5</v>
      </c>
      <c r="I49" s="5" t="s">
        <v>6</v>
      </c>
      <c r="J49" s="5" t="s">
        <v>0</v>
      </c>
      <c r="K49" s="5" t="s">
        <v>1</v>
      </c>
      <c r="L49" s="5" t="s">
        <v>2</v>
      </c>
      <c r="M49" s="5" t="s">
        <v>913</v>
      </c>
      <c r="N49" s="5" t="s">
        <v>605</v>
      </c>
      <c r="O49" s="5" t="s">
        <v>8</v>
      </c>
      <c r="P49" s="5" t="s">
        <v>9</v>
      </c>
      <c r="XFD49"/>
    </row>
    <row r="50" spans="1:16 16384:16384" s="5" customFormat="1">
      <c r="A50" s="5" t="s">
        <v>8</v>
      </c>
      <c r="B50" s="5" t="s">
        <v>1245</v>
      </c>
      <c r="C50" s="5" t="s">
        <v>1197</v>
      </c>
      <c r="D50" s="5">
        <v>102498</v>
      </c>
      <c r="E50" s="5" t="s">
        <v>3</v>
      </c>
      <c r="F50" s="6">
        <v>43322</v>
      </c>
      <c r="G50" s="5" t="s">
        <v>606</v>
      </c>
      <c r="H50" s="5" t="s">
        <v>5</v>
      </c>
      <c r="I50" s="5" t="s">
        <v>6</v>
      </c>
      <c r="J50" s="5" t="s">
        <v>0</v>
      </c>
      <c r="K50" s="5" t="s">
        <v>1</v>
      </c>
      <c r="L50" s="5" t="s">
        <v>2</v>
      </c>
      <c r="M50" s="5" t="s">
        <v>913</v>
      </c>
      <c r="N50" s="5" t="s">
        <v>607</v>
      </c>
      <c r="O50" s="5" t="s">
        <v>8</v>
      </c>
      <c r="P50" s="5" t="s">
        <v>9</v>
      </c>
      <c r="XFD50"/>
    </row>
    <row r="51" spans="1:16 16384:16384" s="5" customFormat="1">
      <c r="A51" s="5" t="s">
        <v>8</v>
      </c>
      <c r="B51" s="5" t="s">
        <v>1246</v>
      </c>
      <c r="C51" s="5" t="s">
        <v>1197</v>
      </c>
      <c r="D51" s="5">
        <v>102518</v>
      </c>
      <c r="E51" s="5" t="s">
        <v>3</v>
      </c>
      <c r="F51" s="6">
        <v>43322</v>
      </c>
      <c r="G51" s="5" t="s">
        <v>608</v>
      </c>
      <c r="H51" s="5" t="s">
        <v>5</v>
      </c>
      <c r="I51" s="5" t="s">
        <v>6</v>
      </c>
      <c r="J51" s="5" t="s">
        <v>0</v>
      </c>
      <c r="K51" s="5" t="s">
        <v>1</v>
      </c>
      <c r="L51" s="5" t="s">
        <v>2</v>
      </c>
      <c r="M51" s="5" t="s">
        <v>913</v>
      </c>
      <c r="N51" s="5" t="s">
        <v>609</v>
      </c>
      <c r="O51" s="5" t="s">
        <v>8</v>
      </c>
      <c r="P51" s="5" t="s">
        <v>9</v>
      </c>
      <c r="XFD51"/>
    </row>
    <row r="52" spans="1:16 16384:16384" s="5" customFormat="1">
      <c r="A52" s="5" t="s">
        <v>8</v>
      </c>
      <c r="B52" s="5" t="s">
        <v>1247</v>
      </c>
      <c r="C52" s="5" t="s">
        <v>1197</v>
      </c>
      <c r="D52" s="5">
        <v>102557</v>
      </c>
      <c r="E52" s="5" t="s">
        <v>3</v>
      </c>
      <c r="F52" s="6">
        <v>43339</v>
      </c>
      <c r="G52" s="5" t="s">
        <v>610</v>
      </c>
      <c r="H52" s="5" t="s">
        <v>5</v>
      </c>
      <c r="I52" s="5" t="s">
        <v>6</v>
      </c>
      <c r="J52" s="5" t="s">
        <v>0</v>
      </c>
      <c r="K52" s="5" t="s">
        <v>1</v>
      </c>
      <c r="L52" s="5" t="s">
        <v>2</v>
      </c>
      <c r="M52" s="5" t="s">
        <v>913</v>
      </c>
      <c r="N52" s="5" t="s">
        <v>611</v>
      </c>
      <c r="O52" s="5" t="s">
        <v>8</v>
      </c>
      <c r="P52" s="5" t="s">
        <v>9</v>
      </c>
      <c r="XFD52"/>
    </row>
    <row r="53" spans="1:16 16384:16384" s="5" customFormat="1">
      <c r="A53" s="5" t="s">
        <v>8</v>
      </c>
      <c r="B53" s="5" t="s">
        <v>1248</v>
      </c>
      <c r="C53" s="5" t="s">
        <v>1197</v>
      </c>
      <c r="D53" s="5">
        <v>102577</v>
      </c>
      <c r="E53" s="5" t="s">
        <v>65</v>
      </c>
      <c r="F53" s="6">
        <v>43322</v>
      </c>
      <c r="G53" s="5" t="s">
        <v>612</v>
      </c>
      <c r="H53" s="5" t="s">
        <v>5</v>
      </c>
      <c r="I53" s="5" t="s">
        <v>6</v>
      </c>
      <c r="J53" s="5" t="s">
        <v>0</v>
      </c>
      <c r="K53" s="5" t="s">
        <v>1</v>
      </c>
      <c r="L53" s="5" t="s">
        <v>2</v>
      </c>
      <c r="M53" s="5" t="s">
        <v>913</v>
      </c>
      <c r="N53" s="5" t="s">
        <v>613</v>
      </c>
      <c r="O53" s="5" t="s">
        <v>8</v>
      </c>
      <c r="P53" s="5" t="s">
        <v>9</v>
      </c>
      <c r="XFD53"/>
    </row>
    <row r="54" spans="1:16 16384:16384" s="5" customFormat="1">
      <c r="A54" s="5" t="s">
        <v>8</v>
      </c>
      <c r="B54" s="5" t="s">
        <v>1249</v>
      </c>
      <c r="C54" s="5" t="s">
        <v>1197</v>
      </c>
      <c r="D54" s="5">
        <v>102601</v>
      </c>
      <c r="E54" s="5" t="s">
        <v>86</v>
      </c>
      <c r="F54" s="6">
        <v>43322</v>
      </c>
      <c r="G54" s="5" t="s">
        <v>614</v>
      </c>
      <c r="H54" s="5" t="s">
        <v>5</v>
      </c>
      <c r="I54" s="5" t="s">
        <v>6</v>
      </c>
      <c r="J54" s="5" t="s">
        <v>0</v>
      </c>
      <c r="K54" s="5" t="s">
        <v>1</v>
      </c>
      <c r="L54" s="5" t="s">
        <v>2</v>
      </c>
      <c r="M54" s="5" t="s">
        <v>913</v>
      </c>
      <c r="N54" s="5" t="s">
        <v>615</v>
      </c>
      <c r="O54" s="5" t="s">
        <v>8</v>
      </c>
      <c r="P54" s="5" t="s">
        <v>9</v>
      </c>
      <c r="XFD54"/>
    </row>
    <row r="55" spans="1:16 16384:16384" s="5" customFormat="1">
      <c r="A55" s="5" t="s">
        <v>8</v>
      </c>
      <c r="B55" s="5" t="s">
        <v>1250</v>
      </c>
      <c r="C55" s="5" t="s">
        <v>1197</v>
      </c>
      <c r="D55" s="5">
        <v>102632</v>
      </c>
      <c r="E55" s="5" t="s">
        <v>3</v>
      </c>
      <c r="F55" s="6">
        <v>43317</v>
      </c>
      <c r="G55" s="5" t="s">
        <v>616</v>
      </c>
      <c r="H55" s="5" t="s">
        <v>5</v>
      </c>
      <c r="I55" s="5" t="s">
        <v>6</v>
      </c>
      <c r="J55" s="5" t="s">
        <v>0</v>
      </c>
      <c r="K55" s="5" t="s">
        <v>1</v>
      </c>
      <c r="L55" s="5" t="s">
        <v>2</v>
      </c>
      <c r="M55" s="5" t="s">
        <v>913</v>
      </c>
      <c r="N55" s="5" t="s">
        <v>617</v>
      </c>
      <c r="O55" s="5" t="s">
        <v>8</v>
      </c>
      <c r="P55" s="5" t="s">
        <v>9</v>
      </c>
      <c r="XFD55"/>
    </row>
    <row r="56" spans="1:16 16384:16384" s="5" customFormat="1">
      <c r="A56" s="5" t="s">
        <v>8</v>
      </c>
      <c r="B56" s="5" t="s">
        <v>1251</v>
      </c>
      <c r="C56" s="5" t="s">
        <v>1197</v>
      </c>
      <c r="D56" s="5">
        <v>102650</v>
      </c>
      <c r="E56" s="5" t="s">
        <v>3</v>
      </c>
      <c r="F56" s="6">
        <v>43319</v>
      </c>
      <c r="G56" s="5" t="s">
        <v>618</v>
      </c>
      <c r="H56" s="5" t="s">
        <v>5</v>
      </c>
      <c r="I56" s="5" t="s">
        <v>6</v>
      </c>
      <c r="J56" s="5" t="s">
        <v>0</v>
      </c>
      <c r="K56" s="5" t="s">
        <v>1</v>
      </c>
      <c r="L56" s="5" t="s">
        <v>2</v>
      </c>
      <c r="M56" s="5" t="s">
        <v>913</v>
      </c>
      <c r="N56" s="5" t="s">
        <v>619</v>
      </c>
      <c r="O56" s="5" t="s">
        <v>8</v>
      </c>
      <c r="P56" s="5" t="s">
        <v>9</v>
      </c>
      <c r="XFD56"/>
    </row>
    <row r="57" spans="1:16 16384:16384" s="5" customFormat="1">
      <c r="A57" s="5" t="s">
        <v>8</v>
      </c>
      <c r="B57" s="5" t="s">
        <v>1252</v>
      </c>
      <c r="C57" s="5" t="s">
        <v>1197</v>
      </c>
      <c r="D57" s="5">
        <v>102687</v>
      </c>
      <c r="E57" s="5" t="s">
        <v>24</v>
      </c>
      <c r="F57" s="6">
        <v>43322</v>
      </c>
      <c r="G57" s="5" t="s">
        <v>620</v>
      </c>
      <c r="H57" s="5" t="s">
        <v>5</v>
      </c>
      <c r="I57" s="5" t="s">
        <v>6</v>
      </c>
      <c r="J57" s="5" t="s">
        <v>0</v>
      </c>
      <c r="K57" s="5" t="s">
        <v>1</v>
      </c>
      <c r="L57" s="5" t="s">
        <v>2</v>
      </c>
      <c r="M57" s="5" t="s">
        <v>913</v>
      </c>
      <c r="N57" s="5" t="s">
        <v>621</v>
      </c>
      <c r="O57" s="5" t="s">
        <v>8</v>
      </c>
      <c r="P57" s="5" t="s">
        <v>9</v>
      </c>
      <c r="XFD57"/>
    </row>
    <row r="58" spans="1:16 16384:16384" s="5" customFormat="1">
      <c r="A58" s="5" t="s">
        <v>8</v>
      </c>
      <c r="B58" s="5" t="s">
        <v>1253</v>
      </c>
      <c r="C58" s="5" t="s">
        <v>1197</v>
      </c>
      <c r="D58" s="5">
        <v>102693</v>
      </c>
      <c r="E58" s="5" t="s">
        <v>3</v>
      </c>
      <c r="F58" s="6">
        <v>43322</v>
      </c>
      <c r="G58" s="5" t="s">
        <v>622</v>
      </c>
      <c r="H58" s="5" t="s">
        <v>5</v>
      </c>
      <c r="I58" s="5" t="s">
        <v>6</v>
      </c>
      <c r="J58" s="5" t="s">
        <v>0</v>
      </c>
      <c r="K58" s="5" t="s">
        <v>1</v>
      </c>
      <c r="L58" s="5" t="s">
        <v>2</v>
      </c>
      <c r="M58" s="5" t="s">
        <v>913</v>
      </c>
      <c r="N58" s="5" t="s">
        <v>623</v>
      </c>
      <c r="O58" s="5" t="s">
        <v>8</v>
      </c>
      <c r="P58" s="5" t="s">
        <v>9</v>
      </c>
      <c r="XFD58"/>
    </row>
    <row r="59" spans="1:16 16384:16384" s="5" customFormat="1">
      <c r="A59" s="5" t="s">
        <v>8</v>
      </c>
      <c r="B59" s="5" t="s">
        <v>1254</v>
      </c>
      <c r="C59" s="5" t="s">
        <v>1197</v>
      </c>
      <c r="D59" s="5">
        <v>102696</v>
      </c>
      <c r="E59" s="5" t="s">
        <v>3</v>
      </c>
      <c r="F59" s="6">
        <v>43322</v>
      </c>
      <c r="G59" s="5" t="s">
        <v>624</v>
      </c>
      <c r="H59" s="5" t="s">
        <v>5</v>
      </c>
      <c r="I59" s="5" t="s">
        <v>6</v>
      </c>
      <c r="J59" s="5" t="s">
        <v>0</v>
      </c>
      <c r="K59" s="5" t="s">
        <v>1</v>
      </c>
      <c r="L59" s="5" t="s">
        <v>2</v>
      </c>
      <c r="M59" s="5" t="s">
        <v>913</v>
      </c>
      <c r="N59" s="5" t="s">
        <v>625</v>
      </c>
      <c r="O59" s="5" t="s">
        <v>8</v>
      </c>
      <c r="P59" s="5" t="s">
        <v>9</v>
      </c>
      <c r="XFD59"/>
    </row>
    <row r="60" spans="1:16 16384:16384" s="5" customFormat="1">
      <c r="A60" s="5" t="s">
        <v>8</v>
      </c>
      <c r="B60" s="5" t="s">
        <v>1255</v>
      </c>
      <c r="C60" s="5" t="s">
        <v>1197</v>
      </c>
      <c r="D60" s="5">
        <v>102698</v>
      </c>
      <c r="E60" s="5" t="s">
        <v>24</v>
      </c>
      <c r="F60" s="6">
        <v>43325</v>
      </c>
      <c r="G60" s="5" t="s">
        <v>626</v>
      </c>
      <c r="H60" s="5" t="s">
        <v>5</v>
      </c>
      <c r="I60" s="5" t="s">
        <v>6</v>
      </c>
      <c r="J60" s="5" t="s">
        <v>0</v>
      </c>
      <c r="K60" s="5" t="s">
        <v>1</v>
      </c>
      <c r="L60" s="5" t="s">
        <v>2</v>
      </c>
      <c r="M60" s="5" t="s">
        <v>913</v>
      </c>
      <c r="N60" s="5" t="s">
        <v>627</v>
      </c>
      <c r="O60" s="5" t="s">
        <v>8</v>
      </c>
      <c r="P60" s="5" t="s">
        <v>9</v>
      </c>
      <c r="XFD60"/>
    </row>
    <row r="61" spans="1:16 16384:16384" s="5" customFormat="1">
      <c r="A61" s="5" t="s">
        <v>8</v>
      </c>
      <c r="B61" s="5" t="s">
        <v>1256</v>
      </c>
      <c r="C61" s="5" t="s">
        <v>1197</v>
      </c>
      <c r="D61" s="5">
        <v>102703</v>
      </c>
      <c r="E61" s="5" t="s">
        <v>86</v>
      </c>
      <c r="F61" s="6">
        <v>43325</v>
      </c>
      <c r="G61" s="5" t="s">
        <v>628</v>
      </c>
      <c r="H61" s="5" t="s">
        <v>5</v>
      </c>
      <c r="I61" s="5" t="s">
        <v>6</v>
      </c>
      <c r="J61" s="5" t="s">
        <v>0</v>
      </c>
      <c r="K61" s="5" t="s">
        <v>1</v>
      </c>
      <c r="L61" s="5" t="s">
        <v>2</v>
      </c>
      <c r="M61" s="5" t="s">
        <v>913</v>
      </c>
      <c r="N61" s="5" t="s">
        <v>629</v>
      </c>
      <c r="O61" s="5" t="s">
        <v>8</v>
      </c>
      <c r="P61" s="5" t="s">
        <v>9</v>
      </c>
      <c r="XFD61"/>
    </row>
    <row r="62" spans="1:16 16384:16384" s="5" customFormat="1">
      <c r="A62" s="5" t="s">
        <v>8</v>
      </c>
      <c r="B62" s="5" t="s">
        <v>1257</v>
      </c>
      <c r="C62" s="5" t="s">
        <v>1197</v>
      </c>
      <c r="D62" s="5">
        <v>102705</v>
      </c>
      <c r="E62" s="5" t="s">
        <v>3</v>
      </c>
      <c r="F62" s="6">
        <v>43322</v>
      </c>
      <c r="G62" s="5" t="s">
        <v>630</v>
      </c>
      <c r="H62" s="5" t="s">
        <v>5</v>
      </c>
      <c r="I62" s="5" t="s">
        <v>6</v>
      </c>
      <c r="J62" s="5" t="s">
        <v>0</v>
      </c>
      <c r="K62" s="5" t="s">
        <v>1</v>
      </c>
      <c r="L62" s="5" t="s">
        <v>2</v>
      </c>
      <c r="M62" s="5" t="s">
        <v>913</v>
      </c>
      <c r="N62" s="5" t="s">
        <v>631</v>
      </c>
      <c r="O62" s="5" t="s">
        <v>8</v>
      </c>
      <c r="P62" s="5" t="s">
        <v>9</v>
      </c>
      <c r="XFD62"/>
    </row>
    <row r="63" spans="1:16 16384:16384" s="5" customFormat="1">
      <c r="A63" s="5" t="s">
        <v>8</v>
      </c>
      <c r="B63" s="5" t="s">
        <v>1258</v>
      </c>
      <c r="C63" s="5" t="s">
        <v>1197</v>
      </c>
      <c r="D63" s="5">
        <v>102706</v>
      </c>
      <c r="E63" s="5" t="s">
        <v>24</v>
      </c>
      <c r="F63" s="6">
        <v>43322</v>
      </c>
      <c r="G63" s="5" t="s">
        <v>632</v>
      </c>
      <c r="H63" s="5" t="s">
        <v>5</v>
      </c>
      <c r="I63" s="5" t="s">
        <v>6</v>
      </c>
      <c r="J63" s="5" t="s">
        <v>0</v>
      </c>
      <c r="K63" s="5" t="s">
        <v>1</v>
      </c>
      <c r="L63" s="5" t="s">
        <v>2</v>
      </c>
      <c r="M63" s="5" t="s">
        <v>913</v>
      </c>
      <c r="N63" s="5" t="s">
        <v>633</v>
      </c>
      <c r="O63" s="5" t="s">
        <v>8</v>
      </c>
      <c r="P63" s="5" t="s">
        <v>9</v>
      </c>
      <c r="XFD63"/>
    </row>
    <row r="64" spans="1:16 16384:16384" s="5" customFormat="1">
      <c r="A64" s="5" t="s">
        <v>8</v>
      </c>
      <c r="B64" s="5" t="s">
        <v>1259</v>
      </c>
      <c r="C64" s="5" t="s">
        <v>1197</v>
      </c>
      <c r="D64" s="5">
        <v>102716</v>
      </c>
      <c r="E64" s="5" t="s">
        <v>24</v>
      </c>
      <c r="F64" s="6">
        <v>43322</v>
      </c>
      <c r="G64" s="5" t="s">
        <v>634</v>
      </c>
      <c r="H64" s="5" t="s">
        <v>5</v>
      </c>
      <c r="I64" s="5" t="s">
        <v>6</v>
      </c>
      <c r="J64" s="5" t="s">
        <v>0</v>
      </c>
      <c r="K64" s="5" t="s">
        <v>1</v>
      </c>
      <c r="L64" s="5" t="s">
        <v>2</v>
      </c>
      <c r="M64" s="5" t="s">
        <v>913</v>
      </c>
      <c r="N64" s="5" t="s">
        <v>635</v>
      </c>
      <c r="O64" s="5" t="s">
        <v>8</v>
      </c>
      <c r="P64" s="5" t="s">
        <v>9</v>
      </c>
      <c r="XFD64"/>
    </row>
    <row r="65" spans="1:16 16384:16384" s="5" customFormat="1">
      <c r="A65" s="5" t="s">
        <v>8</v>
      </c>
      <c r="B65" s="5" t="s">
        <v>1260</v>
      </c>
      <c r="C65" s="5" t="s">
        <v>1197</v>
      </c>
      <c r="D65" s="5">
        <v>102720</v>
      </c>
      <c r="E65" s="5" t="s">
        <v>24</v>
      </c>
      <c r="F65" s="6">
        <v>43322</v>
      </c>
      <c r="G65" s="5" t="s">
        <v>636</v>
      </c>
      <c r="H65" s="5" t="s">
        <v>5</v>
      </c>
      <c r="I65" s="5" t="s">
        <v>6</v>
      </c>
      <c r="J65" s="5" t="s">
        <v>0</v>
      </c>
      <c r="K65" s="5" t="s">
        <v>1</v>
      </c>
      <c r="L65" s="5" t="s">
        <v>2</v>
      </c>
      <c r="M65" s="5" t="s">
        <v>913</v>
      </c>
      <c r="N65" s="5" t="s">
        <v>637</v>
      </c>
      <c r="O65" s="5" t="s">
        <v>8</v>
      </c>
      <c r="P65" s="5" t="s">
        <v>9</v>
      </c>
      <c r="XFD65"/>
    </row>
    <row r="66" spans="1:16 16384:16384" s="5" customFormat="1">
      <c r="A66" s="5" t="s">
        <v>8</v>
      </c>
      <c r="B66" s="5" t="s">
        <v>1261</v>
      </c>
      <c r="C66" s="5" t="s">
        <v>1197</v>
      </c>
      <c r="D66" s="5">
        <v>102723</v>
      </c>
      <c r="E66" s="5" t="s">
        <v>3</v>
      </c>
      <c r="F66" s="6">
        <v>43325</v>
      </c>
      <c r="G66" s="5" t="s">
        <v>638</v>
      </c>
      <c r="H66" s="5" t="s">
        <v>5</v>
      </c>
      <c r="I66" s="5" t="s">
        <v>6</v>
      </c>
      <c r="J66" s="5" t="s">
        <v>0</v>
      </c>
      <c r="K66" s="5" t="s">
        <v>1</v>
      </c>
      <c r="L66" s="5" t="s">
        <v>2</v>
      </c>
      <c r="M66" s="5" t="s">
        <v>913</v>
      </c>
      <c r="N66" s="5" t="s">
        <v>639</v>
      </c>
      <c r="O66" s="5" t="s">
        <v>8</v>
      </c>
      <c r="P66" s="5" t="s">
        <v>9</v>
      </c>
      <c r="XFD66"/>
    </row>
    <row r="67" spans="1:16 16384:16384" s="5" customFormat="1">
      <c r="A67" s="5" t="s">
        <v>8</v>
      </c>
      <c r="B67" s="5" t="s">
        <v>1262</v>
      </c>
      <c r="C67" s="5" t="s">
        <v>1197</v>
      </c>
      <c r="D67" s="5">
        <v>102729</v>
      </c>
      <c r="E67" s="5" t="s">
        <v>24</v>
      </c>
      <c r="F67" s="6">
        <v>43322</v>
      </c>
      <c r="G67" s="5" t="s">
        <v>640</v>
      </c>
      <c r="H67" s="5" t="s">
        <v>5</v>
      </c>
      <c r="I67" s="5" t="s">
        <v>6</v>
      </c>
      <c r="J67" s="5" t="s">
        <v>0</v>
      </c>
      <c r="K67" s="5" t="s">
        <v>1</v>
      </c>
      <c r="L67" s="5" t="s">
        <v>2</v>
      </c>
      <c r="M67" s="5" t="s">
        <v>913</v>
      </c>
      <c r="N67" s="5" t="s">
        <v>641</v>
      </c>
      <c r="O67" s="5" t="s">
        <v>8</v>
      </c>
      <c r="P67" s="5" t="s">
        <v>9</v>
      </c>
      <c r="XFD67"/>
    </row>
    <row r="68" spans="1:16 16384:16384" s="5" customFormat="1">
      <c r="A68" s="5" t="s">
        <v>8</v>
      </c>
      <c r="B68" s="5" t="s">
        <v>1263</v>
      </c>
      <c r="C68" s="5" t="s">
        <v>1197</v>
      </c>
      <c r="D68" s="5">
        <v>102736</v>
      </c>
      <c r="E68" s="5" t="s">
        <v>3</v>
      </c>
      <c r="F68" s="6">
        <v>43322</v>
      </c>
      <c r="G68" s="5" t="s">
        <v>642</v>
      </c>
      <c r="H68" s="5" t="s">
        <v>5</v>
      </c>
      <c r="I68" s="5" t="s">
        <v>6</v>
      </c>
      <c r="J68" s="5" t="s">
        <v>0</v>
      </c>
      <c r="K68" s="5" t="s">
        <v>1</v>
      </c>
      <c r="L68" s="5" t="s">
        <v>2</v>
      </c>
      <c r="M68" s="5" t="s">
        <v>913</v>
      </c>
      <c r="N68" s="5" t="s">
        <v>643</v>
      </c>
      <c r="O68" s="5" t="s">
        <v>8</v>
      </c>
      <c r="P68" s="5" t="s">
        <v>9</v>
      </c>
      <c r="XFD68"/>
    </row>
    <row r="69" spans="1:16 16384:16384" s="5" customFormat="1">
      <c r="A69" s="5" t="s">
        <v>8</v>
      </c>
      <c r="B69" s="5" t="s">
        <v>1264</v>
      </c>
      <c r="C69" s="5" t="s">
        <v>1197</v>
      </c>
      <c r="D69" s="5">
        <v>102742</v>
      </c>
      <c r="E69" s="5" t="s">
        <v>24</v>
      </c>
      <c r="F69" s="6">
        <v>43325</v>
      </c>
      <c r="G69" s="5" t="s">
        <v>644</v>
      </c>
      <c r="H69" s="5" t="s">
        <v>5</v>
      </c>
      <c r="I69" s="5" t="s">
        <v>6</v>
      </c>
      <c r="J69" s="5" t="s">
        <v>0</v>
      </c>
      <c r="K69" s="5" t="s">
        <v>1</v>
      </c>
      <c r="L69" s="5" t="s">
        <v>2</v>
      </c>
      <c r="M69" s="5" t="s">
        <v>913</v>
      </c>
      <c r="N69" s="5" t="s">
        <v>645</v>
      </c>
      <c r="O69" s="5" t="s">
        <v>8</v>
      </c>
      <c r="P69" s="5" t="s">
        <v>9</v>
      </c>
      <c r="XFD69"/>
    </row>
    <row r="70" spans="1:16 16384:16384" s="5" customFormat="1">
      <c r="A70" s="5" t="s">
        <v>8</v>
      </c>
      <c r="B70" s="5" t="s">
        <v>1265</v>
      </c>
      <c r="C70" s="5" t="s">
        <v>1197</v>
      </c>
      <c r="D70" s="5">
        <v>102784</v>
      </c>
      <c r="E70" s="5" t="s">
        <v>24</v>
      </c>
      <c r="F70" s="6">
        <v>43324</v>
      </c>
      <c r="G70" s="5" t="s">
        <v>646</v>
      </c>
      <c r="H70" s="5" t="s">
        <v>5</v>
      </c>
      <c r="I70" s="5" t="s">
        <v>6</v>
      </c>
      <c r="J70" s="5" t="s">
        <v>0</v>
      </c>
      <c r="K70" s="5" t="s">
        <v>1</v>
      </c>
      <c r="L70" s="5" t="s">
        <v>2</v>
      </c>
      <c r="M70" s="5" t="s">
        <v>913</v>
      </c>
      <c r="N70" s="5" t="s">
        <v>647</v>
      </c>
      <c r="O70" s="5" t="s">
        <v>8</v>
      </c>
      <c r="P70" s="5" t="s">
        <v>9</v>
      </c>
      <c r="XFD70"/>
    </row>
    <row r="71" spans="1:16 16384:16384" s="5" customFormat="1">
      <c r="A71" s="5" t="s">
        <v>8</v>
      </c>
      <c r="B71" s="5" t="s">
        <v>1266</v>
      </c>
      <c r="C71" s="5" t="s">
        <v>1197</v>
      </c>
      <c r="D71" s="5">
        <v>102795</v>
      </c>
      <c r="E71" s="5" t="s">
        <v>65</v>
      </c>
      <c r="F71" s="6">
        <v>43322</v>
      </c>
      <c r="G71" s="5" t="s">
        <v>648</v>
      </c>
      <c r="H71" s="5" t="s">
        <v>5</v>
      </c>
      <c r="I71" s="5" t="s">
        <v>6</v>
      </c>
      <c r="J71" s="5" t="s">
        <v>0</v>
      </c>
      <c r="K71" s="5" t="s">
        <v>1</v>
      </c>
      <c r="L71" s="5" t="s">
        <v>2</v>
      </c>
      <c r="M71" s="5" t="s">
        <v>913</v>
      </c>
      <c r="N71" s="5" t="s">
        <v>649</v>
      </c>
      <c r="O71" s="5" t="s">
        <v>8</v>
      </c>
      <c r="P71" s="5" t="s">
        <v>9</v>
      </c>
      <c r="XFD71"/>
    </row>
    <row r="72" spans="1:16 16384:16384" s="5" customFormat="1">
      <c r="A72" s="5" t="s">
        <v>8</v>
      </c>
      <c r="B72" s="5" t="s">
        <v>1267</v>
      </c>
      <c r="C72" s="5" t="s">
        <v>1197</v>
      </c>
      <c r="D72" s="5">
        <v>102803</v>
      </c>
      <c r="E72" s="5" t="s">
        <v>3</v>
      </c>
      <c r="F72" s="6">
        <v>43322</v>
      </c>
      <c r="G72" s="5" t="s">
        <v>650</v>
      </c>
      <c r="H72" s="5" t="s">
        <v>5</v>
      </c>
      <c r="I72" s="5" t="s">
        <v>6</v>
      </c>
      <c r="J72" s="5" t="s">
        <v>0</v>
      </c>
      <c r="K72" s="5" t="s">
        <v>1</v>
      </c>
      <c r="L72" s="5" t="s">
        <v>2</v>
      </c>
      <c r="M72" s="5" t="s">
        <v>913</v>
      </c>
      <c r="N72" s="5" t="s">
        <v>651</v>
      </c>
      <c r="O72" s="5" t="s">
        <v>8</v>
      </c>
      <c r="P72" s="5" t="s">
        <v>9</v>
      </c>
      <c r="XFD72"/>
    </row>
    <row r="73" spans="1:16 16384:16384" s="5" customFormat="1">
      <c r="A73" s="5" t="s">
        <v>8</v>
      </c>
      <c r="B73" s="5" t="s">
        <v>1268</v>
      </c>
      <c r="C73" s="5" t="s">
        <v>1197</v>
      </c>
      <c r="D73" s="5">
        <v>102804</v>
      </c>
      <c r="E73" s="5" t="s">
        <v>3</v>
      </c>
      <c r="F73" s="6">
        <v>43322</v>
      </c>
      <c r="G73" s="5" t="s">
        <v>652</v>
      </c>
      <c r="H73" s="5" t="s">
        <v>5</v>
      </c>
      <c r="I73" s="5" t="s">
        <v>6</v>
      </c>
      <c r="J73" s="5" t="s">
        <v>0</v>
      </c>
      <c r="K73" s="5" t="s">
        <v>1</v>
      </c>
      <c r="L73" s="5" t="s">
        <v>2</v>
      </c>
      <c r="M73" s="5" t="s">
        <v>913</v>
      </c>
      <c r="N73" s="5" t="s">
        <v>653</v>
      </c>
      <c r="O73" s="5" t="s">
        <v>8</v>
      </c>
      <c r="P73" s="5" t="s">
        <v>9</v>
      </c>
      <c r="XFD73"/>
    </row>
    <row r="74" spans="1:16 16384:16384" s="5" customFormat="1">
      <c r="A74" s="5" t="s">
        <v>8</v>
      </c>
      <c r="B74" s="5" t="s">
        <v>1269</v>
      </c>
      <c r="C74" s="5" t="s">
        <v>1197</v>
      </c>
      <c r="D74" s="5">
        <v>102821</v>
      </c>
      <c r="E74" s="5" t="s">
        <v>3</v>
      </c>
      <c r="F74" s="6">
        <v>43324</v>
      </c>
      <c r="G74" s="5" t="s">
        <v>654</v>
      </c>
      <c r="H74" s="5" t="s">
        <v>5</v>
      </c>
      <c r="I74" s="5" t="s">
        <v>6</v>
      </c>
      <c r="J74" s="5" t="s">
        <v>0</v>
      </c>
      <c r="K74" s="5" t="s">
        <v>1</v>
      </c>
      <c r="L74" s="5" t="s">
        <v>2</v>
      </c>
      <c r="M74" s="5" t="s">
        <v>913</v>
      </c>
      <c r="N74" s="5" t="s">
        <v>655</v>
      </c>
      <c r="O74" s="5" t="s">
        <v>8</v>
      </c>
      <c r="P74" s="5" t="s">
        <v>9</v>
      </c>
      <c r="XFD74"/>
    </row>
    <row r="75" spans="1:16 16384:16384" s="5" customFormat="1">
      <c r="A75" s="5" t="s">
        <v>8</v>
      </c>
      <c r="B75" s="5" t="s">
        <v>1270</v>
      </c>
      <c r="C75" s="5" t="s">
        <v>1197</v>
      </c>
      <c r="D75" s="5">
        <v>102824</v>
      </c>
      <c r="E75" s="5" t="s">
        <v>3</v>
      </c>
      <c r="F75" s="6">
        <v>43322</v>
      </c>
      <c r="G75" s="5" t="s">
        <v>656</v>
      </c>
      <c r="H75" s="5" t="s">
        <v>5</v>
      </c>
      <c r="I75" s="5" t="s">
        <v>6</v>
      </c>
      <c r="J75" s="5" t="s">
        <v>0</v>
      </c>
      <c r="K75" s="5" t="s">
        <v>1</v>
      </c>
      <c r="L75" s="5" t="s">
        <v>2</v>
      </c>
      <c r="M75" s="5" t="s">
        <v>913</v>
      </c>
      <c r="N75" s="5" t="s">
        <v>657</v>
      </c>
      <c r="O75" s="5" t="s">
        <v>8</v>
      </c>
      <c r="P75" s="5" t="s">
        <v>9</v>
      </c>
      <c r="XFD75"/>
    </row>
    <row r="76" spans="1:16 16384:16384" s="5" customFormat="1">
      <c r="A76" s="5" t="s">
        <v>8</v>
      </c>
      <c r="B76" s="5" t="s">
        <v>1271</v>
      </c>
      <c r="C76" s="5" t="s">
        <v>1197</v>
      </c>
      <c r="D76" s="5">
        <v>102844</v>
      </c>
      <c r="E76" s="5" t="s">
        <v>3</v>
      </c>
      <c r="F76" s="6">
        <v>43322</v>
      </c>
      <c r="G76" s="5" t="s">
        <v>658</v>
      </c>
      <c r="H76" s="5" t="s">
        <v>5</v>
      </c>
      <c r="I76" s="5" t="s">
        <v>6</v>
      </c>
      <c r="J76" s="5" t="s">
        <v>0</v>
      </c>
      <c r="K76" s="5" t="s">
        <v>1</v>
      </c>
      <c r="L76" s="5" t="s">
        <v>2</v>
      </c>
      <c r="M76" s="5" t="s">
        <v>913</v>
      </c>
      <c r="N76" s="5" t="s">
        <v>659</v>
      </c>
      <c r="O76" s="5" t="s">
        <v>8</v>
      </c>
      <c r="P76" s="5" t="s">
        <v>9</v>
      </c>
      <c r="XFD76"/>
    </row>
    <row r="77" spans="1:16 16384:16384" s="5" customFormat="1">
      <c r="A77" s="5" t="s">
        <v>8</v>
      </c>
      <c r="B77" s="5" t="s">
        <v>1272</v>
      </c>
      <c r="C77" s="5" t="s">
        <v>1197</v>
      </c>
      <c r="D77" s="5">
        <v>102851</v>
      </c>
      <c r="E77" s="5" t="s">
        <v>212</v>
      </c>
      <c r="F77" s="6">
        <v>43322</v>
      </c>
      <c r="G77" s="5" t="s">
        <v>660</v>
      </c>
      <c r="H77" s="5" t="s">
        <v>5</v>
      </c>
      <c r="I77" s="5" t="s">
        <v>6</v>
      </c>
      <c r="J77" s="5" t="s">
        <v>0</v>
      </c>
      <c r="K77" s="5" t="s">
        <v>1</v>
      </c>
      <c r="L77" s="5" t="s">
        <v>2</v>
      </c>
      <c r="M77" s="5" t="s">
        <v>913</v>
      </c>
      <c r="N77" s="5" t="s">
        <v>661</v>
      </c>
      <c r="O77" s="5" t="s">
        <v>8</v>
      </c>
      <c r="P77" s="5" t="s">
        <v>9</v>
      </c>
      <c r="XFD77"/>
    </row>
    <row r="78" spans="1:16 16384:16384" s="5" customFormat="1">
      <c r="A78" s="5" t="s">
        <v>8</v>
      </c>
      <c r="B78" s="5" t="s">
        <v>1273</v>
      </c>
      <c r="C78" s="5" t="s">
        <v>1197</v>
      </c>
      <c r="D78" s="5">
        <v>102871</v>
      </c>
      <c r="E78" s="5" t="s">
        <v>24</v>
      </c>
      <c r="F78" s="6">
        <v>43354</v>
      </c>
      <c r="G78" s="5" t="s">
        <v>662</v>
      </c>
      <c r="H78" s="5" t="s">
        <v>5</v>
      </c>
      <c r="I78" s="5" t="s">
        <v>6</v>
      </c>
      <c r="J78" s="5" t="s">
        <v>0</v>
      </c>
      <c r="K78" s="5" t="s">
        <v>1</v>
      </c>
      <c r="L78" s="5" t="s">
        <v>2</v>
      </c>
      <c r="M78" s="5" t="s">
        <v>913</v>
      </c>
      <c r="N78" s="5" t="s">
        <v>663</v>
      </c>
      <c r="O78" s="5" t="s">
        <v>8</v>
      </c>
      <c r="P78" s="5" t="s">
        <v>9</v>
      </c>
      <c r="XFD78"/>
    </row>
    <row r="79" spans="1:16 16384:16384" s="5" customFormat="1">
      <c r="A79" s="5" t="s">
        <v>8</v>
      </c>
      <c r="B79" s="5" t="s">
        <v>1274</v>
      </c>
      <c r="C79" s="5" t="s">
        <v>1197</v>
      </c>
      <c r="D79" s="5">
        <v>102911</v>
      </c>
      <c r="E79" s="5" t="s">
        <v>65</v>
      </c>
      <c r="F79" s="6">
        <v>43310</v>
      </c>
      <c r="G79" s="5" t="s">
        <v>664</v>
      </c>
      <c r="H79" s="5" t="s">
        <v>5</v>
      </c>
      <c r="I79" s="5" t="s">
        <v>6</v>
      </c>
      <c r="J79" s="5" t="s">
        <v>0</v>
      </c>
      <c r="K79" s="5" t="s">
        <v>1</v>
      </c>
      <c r="L79" s="5" t="s">
        <v>2</v>
      </c>
      <c r="M79" s="5" t="s">
        <v>913</v>
      </c>
      <c r="N79" s="5" t="s">
        <v>665</v>
      </c>
      <c r="O79" s="5" t="s">
        <v>8</v>
      </c>
      <c r="P79" s="5" t="s">
        <v>9</v>
      </c>
      <c r="XFD79"/>
    </row>
    <row r="80" spans="1:16 16384:16384" s="5" customFormat="1">
      <c r="A80" s="5" t="s">
        <v>8</v>
      </c>
      <c r="B80" s="5" t="s">
        <v>1275</v>
      </c>
      <c r="C80" s="5" t="s">
        <v>1197</v>
      </c>
      <c r="D80" s="5">
        <v>102913</v>
      </c>
      <c r="E80" s="5" t="s">
        <v>3</v>
      </c>
      <c r="F80" s="6">
        <v>43322</v>
      </c>
      <c r="G80" s="5" t="s">
        <v>666</v>
      </c>
      <c r="H80" s="5" t="s">
        <v>5</v>
      </c>
      <c r="I80" s="5" t="s">
        <v>6</v>
      </c>
      <c r="J80" s="5" t="s">
        <v>0</v>
      </c>
      <c r="K80" s="5" t="s">
        <v>1</v>
      </c>
      <c r="L80" s="5" t="s">
        <v>2</v>
      </c>
      <c r="M80" s="5" t="s">
        <v>913</v>
      </c>
      <c r="N80" s="5" t="s">
        <v>667</v>
      </c>
      <c r="O80" s="5" t="s">
        <v>8</v>
      </c>
      <c r="P80" s="5" t="s">
        <v>9</v>
      </c>
      <c r="XFD80"/>
    </row>
    <row r="81" spans="1:16 16384:16384" s="5" customFormat="1">
      <c r="A81" s="5" t="s">
        <v>8</v>
      </c>
      <c r="B81" s="5" t="s">
        <v>1276</v>
      </c>
      <c r="C81" s="5" t="s">
        <v>1197</v>
      </c>
      <c r="D81" s="5">
        <v>120271</v>
      </c>
      <c r="E81" s="5" t="s">
        <v>86</v>
      </c>
      <c r="F81" s="6">
        <v>43371</v>
      </c>
      <c r="G81" s="5" t="s">
        <v>668</v>
      </c>
      <c r="H81" s="5" t="s">
        <v>5</v>
      </c>
      <c r="I81" s="5" t="s">
        <v>6</v>
      </c>
      <c r="J81" s="5" t="s">
        <v>0</v>
      </c>
      <c r="K81" s="5" t="s">
        <v>1</v>
      </c>
      <c r="L81" s="5" t="s">
        <v>2</v>
      </c>
      <c r="M81" s="5" t="s">
        <v>913</v>
      </c>
      <c r="N81" s="5" t="s">
        <v>669</v>
      </c>
      <c r="O81" s="5" t="s">
        <v>8</v>
      </c>
      <c r="P81" s="5" t="s">
        <v>9</v>
      </c>
      <c r="XFD81"/>
    </row>
    <row r="82" spans="1:16 16384:16384" s="5" customFormat="1">
      <c r="A82" s="5" t="s">
        <v>8</v>
      </c>
      <c r="B82" s="5" t="s">
        <v>1277</v>
      </c>
      <c r="C82" s="5" t="s">
        <v>1197</v>
      </c>
      <c r="D82" s="5">
        <v>120273</v>
      </c>
      <c r="E82" s="5" t="s">
        <v>86</v>
      </c>
      <c r="F82" s="6">
        <v>43371</v>
      </c>
      <c r="G82" s="5" t="s">
        <v>670</v>
      </c>
      <c r="H82" s="5" t="s">
        <v>5</v>
      </c>
      <c r="I82" s="5" t="s">
        <v>6</v>
      </c>
      <c r="J82" s="5" t="s">
        <v>0</v>
      </c>
      <c r="K82" s="5" t="s">
        <v>1</v>
      </c>
      <c r="L82" s="5" t="s">
        <v>2</v>
      </c>
      <c r="M82" s="5" t="s">
        <v>913</v>
      </c>
      <c r="N82" s="5" t="s">
        <v>671</v>
      </c>
      <c r="O82" s="5" t="s">
        <v>8</v>
      </c>
      <c r="P82" s="5" t="s">
        <v>9</v>
      </c>
      <c r="XFD82"/>
    </row>
    <row r="83" spans="1:16 16384:16384" s="5" customFormat="1">
      <c r="A83" s="5" t="s">
        <v>8</v>
      </c>
      <c r="B83" s="5" t="s">
        <v>1278</v>
      </c>
      <c r="C83" s="5" t="s">
        <v>1197</v>
      </c>
      <c r="D83" s="5">
        <v>120287</v>
      </c>
      <c r="E83" s="5" t="s">
        <v>86</v>
      </c>
      <c r="F83" s="6">
        <v>43322</v>
      </c>
      <c r="G83" s="5" t="s">
        <v>672</v>
      </c>
      <c r="H83" s="5" t="s">
        <v>5</v>
      </c>
      <c r="I83" s="5" t="s">
        <v>6</v>
      </c>
      <c r="J83" s="5" t="s">
        <v>0</v>
      </c>
      <c r="K83" s="5" t="s">
        <v>1</v>
      </c>
      <c r="L83" s="5" t="s">
        <v>2</v>
      </c>
      <c r="M83" s="5" t="s">
        <v>913</v>
      </c>
      <c r="N83" s="5" t="s">
        <v>673</v>
      </c>
      <c r="O83" s="5" t="s">
        <v>8</v>
      </c>
      <c r="P83" s="5" t="s">
        <v>9</v>
      </c>
      <c r="XFD83"/>
    </row>
    <row r="84" spans="1:16 16384:16384" s="5" customFormat="1">
      <c r="A84" s="5" t="s">
        <v>8</v>
      </c>
      <c r="B84" s="5" t="s">
        <v>1279</v>
      </c>
      <c r="C84" s="5" t="s">
        <v>1197</v>
      </c>
      <c r="D84" s="5">
        <v>225135</v>
      </c>
      <c r="E84" s="5" t="s">
        <v>86</v>
      </c>
      <c r="F84" s="6">
        <v>43322</v>
      </c>
      <c r="G84" s="5" t="s">
        <v>809</v>
      </c>
      <c r="H84" s="5" t="s">
        <v>5</v>
      </c>
      <c r="I84" s="5" t="s">
        <v>6</v>
      </c>
      <c r="J84" s="5" t="s">
        <v>0</v>
      </c>
      <c r="K84" s="5" t="s">
        <v>1</v>
      </c>
      <c r="L84" s="5" t="s">
        <v>2</v>
      </c>
      <c r="M84" s="5" t="s">
        <v>913</v>
      </c>
      <c r="N84" s="5" t="s">
        <v>810</v>
      </c>
      <c r="O84" s="5" t="s">
        <v>8</v>
      </c>
      <c r="P84" s="5" t="s">
        <v>9</v>
      </c>
      <c r="XFD84"/>
    </row>
    <row r="85" spans="1:16 16384:16384" s="5" customFormat="1">
      <c r="A85" s="5" t="s">
        <v>8</v>
      </c>
      <c r="B85" s="5" t="s">
        <v>1280</v>
      </c>
      <c r="C85" s="5" t="s">
        <v>1197</v>
      </c>
      <c r="D85" s="5">
        <v>281073</v>
      </c>
      <c r="E85" s="5" t="s">
        <v>86</v>
      </c>
      <c r="F85" s="6">
        <v>43322</v>
      </c>
      <c r="G85" s="5" t="s">
        <v>822</v>
      </c>
      <c r="H85" s="5" t="s">
        <v>5</v>
      </c>
      <c r="I85" s="5" t="s">
        <v>6</v>
      </c>
      <c r="J85" s="5" t="s">
        <v>0</v>
      </c>
      <c r="K85" s="5" t="s">
        <v>1</v>
      </c>
      <c r="L85" s="5" t="s">
        <v>2</v>
      </c>
      <c r="M85" s="5" t="s">
        <v>913</v>
      </c>
      <c r="N85" s="5" t="s">
        <v>823</v>
      </c>
      <c r="O85" s="5" t="s">
        <v>8</v>
      </c>
      <c r="P85" s="5" t="s">
        <v>9</v>
      </c>
      <c r="XFD85"/>
    </row>
    <row r="86" spans="1:16 16384:16384" s="5" customFormat="1">
      <c r="A86" s="5" t="s">
        <v>8</v>
      </c>
      <c r="B86" s="5" t="s">
        <v>1281</v>
      </c>
      <c r="C86" s="5" t="s">
        <v>1197</v>
      </c>
      <c r="D86" s="5">
        <v>306914</v>
      </c>
      <c r="E86" s="5" t="s">
        <v>86</v>
      </c>
      <c r="F86" s="6">
        <v>43322</v>
      </c>
      <c r="G86" s="5" t="s">
        <v>827</v>
      </c>
      <c r="H86" s="5" t="s">
        <v>5</v>
      </c>
      <c r="I86" s="5" t="s">
        <v>6</v>
      </c>
      <c r="J86" s="5" t="s">
        <v>0</v>
      </c>
      <c r="K86" s="5" t="s">
        <v>1</v>
      </c>
      <c r="L86" s="5" t="s">
        <v>2</v>
      </c>
      <c r="M86" s="5" t="s">
        <v>913</v>
      </c>
      <c r="N86" s="5" t="s">
        <v>828</v>
      </c>
      <c r="O86" s="5" t="s">
        <v>8</v>
      </c>
      <c r="P86" s="5" t="s">
        <v>9</v>
      </c>
      <c r="XFD86"/>
    </row>
    <row r="87" spans="1:16 16384:16384" s="5" customFormat="1">
      <c r="A87" s="5" t="s">
        <v>8</v>
      </c>
      <c r="B87" s="5" t="s">
        <v>1282</v>
      </c>
      <c r="C87" s="5" t="s">
        <v>1197</v>
      </c>
      <c r="D87" s="5">
        <v>376937</v>
      </c>
      <c r="E87" s="5" t="s">
        <v>86</v>
      </c>
      <c r="F87" s="6">
        <v>43319</v>
      </c>
      <c r="G87" s="5" t="s">
        <v>833</v>
      </c>
      <c r="H87" s="5" t="s">
        <v>5</v>
      </c>
      <c r="I87" s="5" t="s">
        <v>6</v>
      </c>
      <c r="J87" s="5" t="s">
        <v>0</v>
      </c>
      <c r="K87" s="5" t="s">
        <v>1</v>
      </c>
      <c r="L87" s="5" t="s">
        <v>2</v>
      </c>
      <c r="M87" s="5" t="s">
        <v>913</v>
      </c>
      <c r="N87" s="5" t="s">
        <v>834</v>
      </c>
      <c r="O87" s="5" t="s">
        <v>8</v>
      </c>
      <c r="P87" s="5" t="s">
        <v>9</v>
      </c>
      <c r="XFD87"/>
    </row>
    <row r="88" spans="1:16 16384:16384" s="5" customFormat="1">
      <c r="A88" s="5" t="s">
        <v>8</v>
      </c>
      <c r="B88" s="5" t="s">
        <v>1283</v>
      </c>
      <c r="C88" s="5" t="s">
        <v>1197</v>
      </c>
      <c r="D88" s="5">
        <v>439228</v>
      </c>
      <c r="E88" s="5" t="s">
        <v>24</v>
      </c>
      <c r="F88" s="6">
        <v>43324</v>
      </c>
      <c r="G88" s="5" t="s">
        <v>844</v>
      </c>
      <c r="H88" s="5" t="s">
        <v>5</v>
      </c>
      <c r="I88" s="5" t="s">
        <v>6</v>
      </c>
      <c r="J88" s="5" t="s">
        <v>0</v>
      </c>
      <c r="K88" s="5" t="s">
        <v>1</v>
      </c>
      <c r="L88" s="5" t="s">
        <v>2</v>
      </c>
      <c r="M88" s="5" t="s">
        <v>913</v>
      </c>
      <c r="N88" s="5" t="s">
        <v>845</v>
      </c>
      <c r="O88" s="5" t="s">
        <v>8</v>
      </c>
      <c r="P88" s="5" t="s">
        <v>9</v>
      </c>
      <c r="XFD88"/>
    </row>
    <row r="89" spans="1:16 16384:16384" s="9" customFormat="1">
      <c r="A89" s="9" t="s">
        <v>8</v>
      </c>
      <c r="B89" s="9" t="s">
        <v>1284</v>
      </c>
      <c r="C89" s="5" t="s">
        <v>1197</v>
      </c>
      <c r="D89" s="9">
        <v>590340</v>
      </c>
      <c r="E89" s="9" t="s">
        <v>212</v>
      </c>
      <c r="F89" s="10">
        <v>43325</v>
      </c>
      <c r="G89" s="9" t="s">
        <v>895</v>
      </c>
      <c r="H89" s="9" t="s">
        <v>5</v>
      </c>
      <c r="I89" s="9" t="s">
        <v>6</v>
      </c>
      <c r="J89" s="9" t="s">
        <v>0</v>
      </c>
      <c r="K89" s="9" t="s">
        <v>1</v>
      </c>
      <c r="L89" s="9" t="s">
        <v>2</v>
      </c>
      <c r="M89" s="9" t="s">
        <v>913</v>
      </c>
      <c r="N89" s="9" t="s">
        <v>896</v>
      </c>
      <c r="O89" s="9" t="s">
        <v>8</v>
      </c>
      <c r="P89" s="9" t="s">
        <v>9</v>
      </c>
      <c r="XFD8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1710A-9568-AA40-94F6-41AA56D3944E}">
  <dimension ref="A1:XFD50"/>
  <sheetViews>
    <sheetView workbookViewId="0">
      <selection sqref="A1:XFD1048576"/>
    </sheetView>
  </sheetViews>
  <sheetFormatPr baseColWidth="10" defaultRowHeight="16"/>
  <cols>
    <col min="1" max="1" width="13.1640625" bestFit="1" customWidth="1"/>
    <col min="2" max="2" width="9.1640625" bestFit="1" customWidth="1"/>
    <col min="3" max="3" width="7.1640625" bestFit="1" customWidth="1"/>
    <col min="4" max="4" width="10.5" bestFit="1" customWidth="1"/>
    <col min="5" max="5" width="19.5" bestFit="1" customWidth="1"/>
    <col min="6" max="6" width="16.83203125" bestFit="1" customWidth="1"/>
    <col min="7" max="7" width="255.83203125" bestFit="1" customWidth="1"/>
    <col min="8" max="8" width="21.83203125" bestFit="1" customWidth="1"/>
    <col min="9" max="9" width="44.33203125" bestFit="1" customWidth="1"/>
    <col min="10" max="10" width="22" bestFit="1" customWidth="1"/>
    <col min="11" max="11" width="15.5" bestFit="1" customWidth="1"/>
    <col min="12" max="12" width="11.6640625" bestFit="1" customWidth="1"/>
    <col min="13" max="13" width="29.5" bestFit="1" customWidth="1"/>
    <col min="14" max="14" width="14.83203125" bestFit="1" customWidth="1"/>
    <col min="15" max="15" width="20.33203125" bestFit="1" customWidth="1"/>
    <col min="16" max="16" width="24.5" bestFit="1" customWidth="1"/>
  </cols>
  <sheetData>
    <row r="1" spans="1:16 16384:16384" s="7" customFormat="1">
      <c r="A1" s="7" t="s">
        <v>944</v>
      </c>
      <c r="B1" s="7" t="s">
        <v>1195</v>
      </c>
      <c r="C1" s="7" t="s">
        <v>1193</v>
      </c>
      <c r="D1" s="7" t="s">
        <v>912</v>
      </c>
      <c r="E1" s="7" t="s">
        <v>898</v>
      </c>
      <c r="F1" s="7" t="s">
        <v>899</v>
      </c>
      <c r="G1" s="7" t="s">
        <v>900</v>
      </c>
      <c r="H1" s="7" t="s">
        <v>901</v>
      </c>
      <c r="I1" s="7" t="s">
        <v>902</v>
      </c>
      <c r="J1" s="7" t="s">
        <v>903</v>
      </c>
      <c r="K1" s="7" t="s">
        <v>904</v>
      </c>
      <c r="L1" s="7" t="s">
        <v>905</v>
      </c>
      <c r="M1" s="7" t="s">
        <v>906</v>
      </c>
      <c r="N1" s="7" t="s">
        <v>907</v>
      </c>
      <c r="O1" s="7" t="s">
        <v>908</v>
      </c>
      <c r="P1" s="7" t="s">
        <v>909</v>
      </c>
      <c r="XFD1"/>
    </row>
    <row r="2" spans="1:16 16384:16384" s="5" customFormat="1">
      <c r="A2" s="5" t="s">
        <v>910</v>
      </c>
      <c r="B2" s="5" t="s">
        <v>1285</v>
      </c>
      <c r="C2" s="5" t="s">
        <v>1197</v>
      </c>
      <c r="D2" s="5">
        <v>2353</v>
      </c>
      <c r="E2" s="5" t="s">
        <v>3</v>
      </c>
      <c r="F2" s="6">
        <v>43368</v>
      </c>
      <c r="G2" s="5" t="s">
        <v>66</v>
      </c>
      <c r="H2" s="5" t="s">
        <v>67</v>
      </c>
      <c r="I2" s="5" t="s">
        <v>68</v>
      </c>
      <c r="J2" s="5" t="s">
        <v>0</v>
      </c>
      <c r="K2" s="5" t="s">
        <v>1</v>
      </c>
      <c r="L2" s="5" t="s">
        <v>2</v>
      </c>
      <c r="M2" s="5" t="s">
        <v>914</v>
      </c>
      <c r="N2" s="5" t="s">
        <v>69</v>
      </c>
      <c r="O2" s="5" t="s">
        <v>70</v>
      </c>
      <c r="P2" s="5" t="s">
        <v>9</v>
      </c>
      <c r="XFD2"/>
    </row>
    <row r="3" spans="1:16 16384:16384" s="5" customFormat="1">
      <c r="A3" s="5" t="s">
        <v>910</v>
      </c>
      <c r="B3" s="5" t="s">
        <v>1286</v>
      </c>
      <c r="C3" s="5" t="s">
        <v>1197</v>
      </c>
      <c r="D3" s="5">
        <v>4835</v>
      </c>
      <c r="E3" s="5" t="s">
        <v>3</v>
      </c>
      <c r="F3" s="6">
        <v>43362</v>
      </c>
      <c r="G3" s="5" t="s">
        <v>71</v>
      </c>
      <c r="H3" s="5" t="s">
        <v>72</v>
      </c>
      <c r="I3" s="5" t="s">
        <v>73</v>
      </c>
      <c r="J3" s="5" t="s">
        <v>0</v>
      </c>
      <c r="K3" s="5" t="s">
        <v>1</v>
      </c>
      <c r="L3" s="5" t="s">
        <v>2</v>
      </c>
      <c r="M3" s="5" t="s">
        <v>914</v>
      </c>
      <c r="N3" s="5" t="s">
        <v>74</v>
      </c>
      <c r="O3" s="5" t="s">
        <v>75</v>
      </c>
      <c r="P3" s="5" t="s">
        <v>9</v>
      </c>
      <c r="XFD3"/>
    </row>
    <row r="4" spans="1:16 16384:16384" s="5" customFormat="1">
      <c r="A4" s="5" t="s">
        <v>910</v>
      </c>
      <c r="B4" s="5" t="s">
        <v>1287</v>
      </c>
      <c r="C4" s="5" t="s">
        <v>1197</v>
      </c>
      <c r="D4" s="5">
        <v>4840</v>
      </c>
      <c r="E4" s="5" t="s">
        <v>3</v>
      </c>
      <c r="F4" s="6">
        <v>43363</v>
      </c>
      <c r="G4" s="5" t="s">
        <v>76</v>
      </c>
      <c r="H4" s="5" t="s">
        <v>72</v>
      </c>
      <c r="I4" s="5" t="s">
        <v>73</v>
      </c>
      <c r="J4" s="5" t="s">
        <v>0</v>
      </c>
      <c r="K4" s="5" t="s">
        <v>1</v>
      </c>
      <c r="L4" s="5" t="s">
        <v>2</v>
      </c>
      <c r="M4" s="5" t="s">
        <v>914</v>
      </c>
      <c r="N4" s="5" t="s">
        <v>77</v>
      </c>
      <c r="O4" s="5" t="s">
        <v>75</v>
      </c>
      <c r="P4" s="5" t="s">
        <v>9</v>
      </c>
      <c r="XFD4"/>
    </row>
    <row r="5" spans="1:16 16384:16384" s="5" customFormat="1">
      <c r="A5" s="5" t="s">
        <v>910</v>
      </c>
      <c r="B5" s="5" t="s">
        <v>1288</v>
      </c>
      <c r="C5" s="5" t="s">
        <v>1197</v>
      </c>
      <c r="D5" s="5">
        <v>6241</v>
      </c>
      <c r="E5" s="5" t="s">
        <v>3</v>
      </c>
      <c r="F5" s="6">
        <v>43354</v>
      </c>
      <c r="G5" s="5" t="s">
        <v>78</v>
      </c>
      <c r="H5" s="5" t="s">
        <v>79</v>
      </c>
      <c r="I5" s="5" t="s">
        <v>80</v>
      </c>
      <c r="J5" s="5" t="s">
        <v>0</v>
      </c>
      <c r="K5" s="5" t="s">
        <v>1</v>
      </c>
      <c r="L5" s="5" t="s">
        <v>2</v>
      </c>
      <c r="M5" s="5" t="s">
        <v>914</v>
      </c>
      <c r="N5" s="5" t="s">
        <v>81</v>
      </c>
      <c r="O5" s="5" t="s">
        <v>82</v>
      </c>
      <c r="P5" s="5" t="s">
        <v>9</v>
      </c>
      <c r="XFD5"/>
    </row>
    <row r="6" spans="1:16 16384:16384" s="5" customFormat="1">
      <c r="A6" s="5" t="s">
        <v>910</v>
      </c>
      <c r="B6" s="5" t="s">
        <v>1289</v>
      </c>
      <c r="C6" s="5" t="s">
        <v>1197</v>
      </c>
      <c r="D6" s="5">
        <v>6611</v>
      </c>
      <c r="E6" s="5" t="s">
        <v>3</v>
      </c>
      <c r="F6" s="6">
        <v>43362</v>
      </c>
      <c r="G6" s="5" t="s">
        <v>83</v>
      </c>
      <c r="H6" s="5" t="s">
        <v>79</v>
      </c>
      <c r="I6" s="5" t="s">
        <v>80</v>
      </c>
      <c r="J6" s="5" t="s">
        <v>0</v>
      </c>
      <c r="K6" s="5" t="s">
        <v>1</v>
      </c>
      <c r="L6" s="5" t="s">
        <v>2</v>
      </c>
      <c r="M6" s="5" t="s">
        <v>914</v>
      </c>
      <c r="N6" s="5" t="s">
        <v>84</v>
      </c>
      <c r="O6" s="5" t="s">
        <v>85</v>
      </c>
      <c r="P6" s="5" t="s">
        <v>9</v>
      </c>
      <c r="XFD6"/>
    </row>
    <row r="7" spans="1:16 16384:16384" s="5" customFormat="1">
      <c r="A7" s="5" t="s">
        <v>910</v>
      </c>
      <c r="B7" s="5" t="s">
        <v>1290</v>
      </c>
      <c r="C7" s="5" t="s">
        <v>1197</v>
      </c>
      <c r="D7" s="5">
        <v>6613</v>
      </c>
      <c r="E7" s="5" t="s">
        <v>86</v>
      </c>
      <c r="F7" s="6">
        <v>43360</v>
      </c>
      <c r="G7" s="5" t="s">
        <v>87</v>
      </c>
      <c r="H7" s="5" t="s">
        <v>79</v>
      </c>
      <c r="I7" s="5" t="s">
        <v>80</v>
      </c>
      <c r="J7" s="5" t="s">
        <v>0</v>
      </c>
      <c r="K7" s="5" t="s">
        <v>1</v>
      </c>
      <c r="L7" s="5" t="s">
        <v>2</v>
      </c>
      <c r="M7" s="5" t="s">
        <v>914</v>
      </c>
      <c r="N7" s="5" t="s">
        <v>88</v>
      </c>
      <c r="O7" s="5" t="s">
        <v>85</v>
      </c>
      <c r="P7" s="5" t="s">
        <v>9</v>
      </c>
      <c r="XFD7"/>
    </row>
    <row r="8" spans="1:16 16384:16384" s="5" customFormat="1">
      <c r="A8" s="5" t="s">
        <v>910</v>
      </c>
      <c r="B8" s="5" t="s">
        <v>1291</v>
      </c>
      <c r="C8" s="5" t="s">
        <v>1197</v>
      </c>
      <c r="D8" s="5">
        <v>17002</v>
      </c>
      <c r="E8" s="5" t="s">
        <v>3</v>
      </c>
      <c r="F8" s="6">
        <v>43360</v>
      </c>
      <c r="G8" s="5" t="s">
        <v>201</v>
      </c>
      <c r="H8" s="5" t="s">
        <v>79</v>
      </c>
      <c r="I8" s="5" t="s">
        <v>80</v>
      </c>
      <c r="J8" s="5" t="s">
        <v>0</v>
      </c>
      <c r="K8" s="5" t="s">
        <v>1</v>
      </c>
      <c r="L8" s="5" t="s">
        <v>2</v>
      </c>
      <c r="M8" s="5" t="s">
        <v>914</v>
      </c>
      <c r="N8" s="5" t="s">
        <v>202</v>
      </c>
      <c r="O8" s="5" t="s">
        <v>203</v>
      </c>
      <c r="P8" s="5" t="s">
        <v>9</v>
      </c>
      <c r="XFD8"/>
    </row>
    <row r="9" spans="1:16 16384:16384" s="5" customFormat="1">
      <c r="A9" s="5" t="s">
        <v>910</v>
      </c>
      <c r="B9" s="5" t="s">
        <v>1292</v>
      </c>
      <c r="C9" s="5" t="s">
        <v>1197</v>
      </c>
      <c r="D9" s="5">
        <v>17004</v>
      </c>
      <c r="E9" s="5" t="s">
        <v>3</v>
      </c>
      <c r="F9" s="6">
        <v>43363</v>
      </c>
      <c r="G9" s="5" t="s">
        <v>204</v>
      </c>
      <c r="H9" s="5" t="s">
        <v>79</v>
      </c>
      <c r="I9" s="5" t="s">
        <v>80</v>
      </c>
      <c r="J9" s="5" t="s">
        <v>0</v>
      </c>
      <c r="K9" s="5" t="s">
        <v>1</v>
      </c>
      <c r="L9" s="5" t="s">
        <v>2</v>
      </c>
      <c r="M9" s="5" t="s">
        <v>914</v>
      </c>
      <c r="N9" s="5" t="s">
        <v>205</v>
      </c>
      <c r="O9" s="5" t="s">
        <v>203</v>
      </c>
      <c r="P9" s="5" t="s">
        <v>9</v>
      </c>
      <c r="XFD9"/>
    </row>
    <row r="10" spans="1:16 16384:16384" s="5" customFormat="1">
      <c r="A10" s="5" t="s">
        <v>910</v>
      </c>
      <c r="B10" s="5" t="s">
        <v>1293</v>
      </c>
      <c r="C10" s="5" t="s">
        <v>1197</v>
      </c>
      <c r="D10" s="5">
        <v>17010</v>
      </c>
      <c r="E10" s="5" t="s">
        <v>3</v>
      </c>
      <c r="F10" s="6">
        <v>43362</v>
      </c>
      <c r="G10" s="5" t="s">
        <v>206</v>
      </c>
      <c r="H10" s="5" t="s">
        <v>79</v>
      </c>
      <c r="I10" s="5" t="s">
        <v>80</v>
      </c>
      <c r="J10" s="5" t="s">
        <v>0</v>
      </c>
      <c r="K10" s="5" t="s">
        <v>1</v>
      </c>
      <c r="L10" s="5" t="s">
        <v>2</v>
      </c>
      <c r="M10" s="5" t="s">
        <v>914</v>
      </c>
      <c r="N10" s="5" t="s">
        <v>207</v>
      </c>
      <c r="O10" s="5" t="s">
        <v>203</v>
      </c>
      <c r="P10" s="5" t="s">
        <v>9</v>
      </c>
      <c r="XFD10"/>
    </row>
    <row r="11" spans="1:16 16384:16384" s="5" customFormat="1">
      <c r="A11" s="5" t="s">
        <v>910</v>
      </c>
      <c r="B11" s="5" t="s">
        <v>1294</v>
      </c>
      <c r="C11" s="5" t="s">
        <v>1197</v>
      </c>
      <c r="D11" s="5">
        <v>17014</v>
      </c>
      <c r="E11" s="5" t="s">
        <v>3</v>
      </c>
      <c r="F11" s="6">
        <v>43357</v>
      </c>
      <c r="G11" s="5" t="s">
        <v>208</v>
      </c>
      <c r="H11" s="5" t="s">
        <v>79</v>
      </c>
      <c r="I11" s="5" t="s">
        <v>80</v>
      </c>
      <c r="J11" s="5" t="s">
        <v>0</v>
      </c>
      <c r="K11" s="5" t="s">
        <v>1</v>
      </c>
      <c r="L11" s="5" t="s">
        <v>2</v>
      </c>
      <c r="M11" s="5" t="s">
        <v>914</v>
      </c>
      <c r="N11" s="5" t="s">
        <v>209</v>
      </c>
      <c r="O11" s="5" t="s">
        <v>203</v>
      </c>
      <c r="P11" s="5" t="s">
        <v>9</v>
      </c>
      <c r="XFD11"/>
    </row>
    <row r="12" spans="1:16 16384:16384" s="5" customFormat="1">
      <c r="A12" s="5" t="s">
        <v>910</v>
      </c>
      <c r="B12" s="5" t="s">
        <v>1295</v>
      </c>
      <c r="C12" s="5" t="s">
        <v>1197</v>
      </c>
      <c r="D12" s="5">
        <v>43134</v>
      </c>
      <c r="E12" s="5" t="s">
        <v>86</v>
      </c>
      <c r="F12" s="6">
        <v>43360</v>
      </c>
      <c r="G12" s="5" t="s">
        <v>473</v>
      </c>
      <c r="H12" s="5" t="s">
        <v>79</v>
      </c>
      <c r="I12" s="5" t="s">
        <v>80</v>
      </c>
      <c r="J12" s="5" t="s">
        <v>0</v>
      </c>
      <c r="K12" s="5" t="s">
        <v>1</v>
      </c>
      <c r="L12" s="5" t="s">
        <v>2</v>
      </c>
      <c r="M12" s="5" t="s">
        <v>914</v>
      </c>
      <c r="N12" s="5" t="s">
        <v>474</v>
      </c>
      <c r="O12" s="5" t="s">
        <v>475</v>
      </c>
      <c r="P12" s="5" t="s">
        <v>9</v>
      </c>
      <c r="XFD12"/>
    </row>
    <row r="13" spans="1:16 16384:16384" s="5" customFormat="1">
      <c r="A13" s="5" t="s">
        <v>910</v>
      </c>
      <c r="B13" s="5" t="s">
        <v>1296</v>
      </c>
      <c r="C13" s="5" t="s">
        <v>1197</v>
      </c>
      <c r="D13" s="5">
        <v>43201</v>
      </c>
      <c r="E13" s="5" t="s">
        <v>65</v>
      </c>
      <c r="F13" s="6">
        <v>43371</v>
      </c>
      <c r="G13" s="5" t="s">
        <v>476</v>
      </c>
      <c r="H13" s="5" t="s">
        <v>79</v>
      </c>
      <c r="I13" s="5" t="s">
        <v>80</v>
      </c>
      <c r="J13" s="5" t="s">
        <v>0</v>
      </c>
      <c r="K13" s="5" t="s">
        <v>1</v>
      </c>
      <c r="L13" s="5" t="s">
        <v>2</v>
      </c>
      <c r="M13" s="5" t="s">
        <v>914</v>
      </c>
      <c r="N13" s="5" t="s">
        <v>477</v>
      </c>
      <c r="O13" s="5" t="s">
        <v>475</v>
      </c>
      <c r="P13" s="5" t="s">
        <v>9</v>
      </c>
      <c r="XFD13"/>
    </row>
    <row r="14" spans="1:16 16384:16384" s="5" customFormat="1">
      <c r="A14" s="5" t="s">
        <v>910</v>
      </c>
      <c r="B14" s="5" t="s">
        <v>1297</v>
      </c>
      <c r="C14" s="5" t="s">
        <v>1197</v>
      </c>
      <c r="D14" s="5">
        <v>43207</v>
      </c>
      <c r="E14" s="5" t="s">
        <v>65</v>
      </c>
      <c r="F14" s="6">
        <v>43371</v>
      </c>
      <c r="G14" s="5" t="s">
        <v>478</v>
      </c>
      <c r="H14" s="5" t="s">
        <v>79</v>
      </c>
      <c r="I14" s="5" t="s">
        <v>80</v>
      </c>
      <c r="J14" s="5" t="s">
        <v>0</v>
      </c>
      <c r="K14" s="5" t="s">
        <v>1</v>
      </c>
      <c r="L14" s="5" t="s">
        <v>2</v>
      </c>
      <c r="M14" s="5" t="s">
        <v>914</v>
      </c>
      <c r="N14" s="5" t="s">
        <v>479</v>
      </c>
      <c r="O14" s="5" t="s">
        <v>475</v>
      </c>
      <c r="P14" s="5" t="s">
        <v>9</v>
      </c>
      <c r="XFD14"/>
    </row>
    <row r="15" spans="1:16 16384:16384" s="5" customFormat="1">
      <c r="A15" s="5" t="s">
        <v>910</v>
      </c>
      <c r="B15" s="5" t="s">
        <v>1298</v>
      </c>
      <c r="C15" s="5" t="s">
        <v>1197</v>
      </c>
      <c r="D15" s="5">
        <v>43498</v>
      </c>
      <c r="E15" s="5" t="s">
        <v>3</v>
      </c>
      <c r="F15" s="6">
        <v>43360</v>
      </c>
      <c r="G15" s="5" t="s">
        <v>480</v>
      </c>
      <c r="H15" s="5" t="s">
        <v>72</v>
      </c>
      <c r="I15" s="5" t="s">
        <v>73</v>
      </c>
      <c r="J15" s="5" t="s">
        <v>0</v>
      </c>
      <c r="K15" s="5" t="s">
        <v>1</v>
      </c>
      <c r="L15" s="5" t="s">
        <v>2</v>
      </c>
      <c r="M15" s="5" t="s">
        <v>914</v>
      </c>
      <c r="N15" s="5" t="s">
        <v>481</v>
      </c>
      <c r="O15" s="5" t="s">
        <v>75</v>
      </c>
      <c r="P15" s="5" t="s">
        <v>9</v>
      </c>
      <c r="XFD15"/>
    </row>
    <row r="16" spans="1:16 16384:16384" s="5" customFormat="1">
      <c r="A16" s="5" t="s">
        <v>910</v>
      </c>
      <c r="B16" s="5" t="s">
        <v>1299</v>
      </c>
      <c r="C16" s="5" t="s">
        <v>1197</v>
      </c>
      <c r="D16" s="5">
        <v>43507</v>
      </c>
      <c r="E16" s="5" t="s">
        <v>65</v>
      </c>
      <c r="F16" s="6">
        <v>43371</v>
      </c>
      <c r="G16" s="5" t="s">
        <v>482</v>
      </c>
      <c r="H16" s="5" t="s">
        <v>72</v>
      </c>
      <c r="I16" s="5" t="s">
        <v>73</v>
      </c>
      <c r="J16" s="5" t="s">
        <v>0</v>
      </c>
      <c r="K16" s="5" t="s">
        <v>1</v>
      </c>
      <c r="L16" s="5" t="s">
        <v>2</v>
      </c>
      <c r="M16" s="5" t="s">
        <v>914</v>
      </c>
      <c r="N16" s="5" t="s">
        <v>483</v>
      </c>
      <c r="O16" s="5" t="s">
        <v>75</v>
      </c>
      <c r="P16" s="5" t="s">
        <v>9</v>
      </c>
      <c r="XFD16"/>
    </row>
    <row r="17" spans="1:16 16384:16384" s="5" customFormat="1">
      <c r="A17" s="5" t="s">
        <v>910</v>
      </c>
      <c r="B17" s="5" t="s">
        <v>1300</v>
      </c>
      <c r="C17" s="5" t="s">
        <v>1197</v>
      </c>
      <c r="D17" s="5">
        <v>43546</v>
      </c>
      <c r="E17" s="5" t="s">
        <v>86</v>
      </c>
      <c r="F17" s="6">
        <v>43371</v>
      </c>
      <c r="G17" s="5" t="s">
        <v>484</v>
      </c>
      <c r="H17" s="5" t="s">
        <v>72</v>
      </c>
      <c r="I17" s="5" t="s">
        <v>73</v>
      </c>
      <c r="J17" s="5" t="s">
        <v>0</v>
      </c>
      <c r="K17" s="5" t="s">
        <v>1</v>
      </c>
      <c r="L17" s="5" t="s">
        <v>2</v>
      </c>
      <c r="M17" s="5" t="s">
        <v>914</v>
      </c>
      <c r="N17" s="5" t="s">
        <v>485</v>
      </c>
      <c r="O17" s="5" t="s">
        <v>75</v>
      </c>
      <c r="P17" s="5" t="s">
        <v>9</v>
      </c>
      <c r="XFD17"/>
    </row>
    <row r="18" spans="1:16 16384:16384" s="5" customFormat="1">
      <c r="A18" s="5" t="s">
        <v>910</v>
      </c>
      <c r="B18" s="5" t="s">
        <v>1301</v>
      </c>
      <c r="C18" s="5" t="s">
        <v>1197</v>
      </c>
      <c r="D18" s="5">
        <v>43555</v>
      </c>
      <c r="E18" s="5" t="s">
        <v>24</v>
      </c>
      <c r="F18" s="6">
        <v>43369</v>
      </c>
      <c r="G18" s="5" t="s">
        <v>486</v>
      </c>
      <c r="H18" s="5" t="s">
        <v>72</v>
      </c>
      <c r="I18" s="5" t="s">
        <v>73</v>
      </c>
      <c r="J18" s="5" t="s">
        <v>0</v>
      </c>
      <c r="K18" s="5" t="s">
        <v>1</v>
      </c>
      <c r="L18" s="5" t="s">
        <v>2</v>
      </c>
      <c r="M18" s="5" t="s">
        <v>914</v>
      </c>
      <c r="N18" s="5" t="s">
        <v>487</v>
      </c>
      <c r="O18" s="5" t="s">
        <v>75</v>
      </c>
      <c r="P18" s="5" t="s">
        <v>9</v>
      </c>
      <c r="XFD18"/>
    </row>
    <row r="19" spans="1:16 16384:16384" s="5" customFormat="1">
      <c r="A19" s="5" t="s">
        <v>910</v>
      </c>
      <c r="B19" s="5" t="s">
        <v>1302</v>
      </c>
      <c r="C19" s="5" t="s">
        <v>1197</v>
      </c>
      <c r="D19" s="5">
        <v>43560</v>
      </c>
      <c r="E19" s="5" t="s">
        <v>65</v>
      </c>
      <c r="F19" s="6">
        <v>43371</v>
      </c>
      <c r="G19" s="5" t="s">
        <v>488</v>
      </c>
      <c r="H19" s="5" t="s">
        <v>72</v>
      </c>
      <c r="I19" s="5" t="s">
        <v>73</v>
      </c>
      <c r="J19" s="5" t="s">
        <v>0</v>
      </c>
      <c r="K19" s="5" t="s">
        <v>1</v>
      </c>
      <c r="L19" s="5" t="s">
        <v>2</v>
      </c>
      <c r="M19" s="5" t="s">
        <v>914</v>
      </c>
      <c r="N19" s="5" t="s">
        <v>489</v>
      </c>
      <c r="O19" s="5" t="s">
        <v>75</v>
      </c>
      <c r="P19" s="5" t="s">
        <v>9</v>
      </c>
      <c r="XFD19"/>
    </row>
    <row r="20" spans="1:16 16384:16384" s="5" customFormat="1">
      <c r="A20" s="5" t="s">
        <v>910</v>
      </c>
      <c r="B20" s="5" t="s">
        <v>1303</v>
      </c>
      <c r="C20" s="5" t="s">
        <v>1197</v>
      </c>
      <c r="D20" s="5">
        <v>43565</v>
      </c>
      <c r="E20" s="5" t="s">
        <v>24</v>
      </c>
      <c r="F20" s="6">
        <v>43353</v>
      </c>
      <c r="G20" s="5" t="s">
        <v>490</v>
      </c>
      <c r="H20" s="5" t="s">
        <v>72</v>
      </c>
      <c r="I20" s="5" t="s">
        <v>73</v>
      </c>
      <c r="J20" s="5" t="s">
        <v>0</v>
      </c>
      <c r="K20" s="5" t="s">
        <v>1</v>
      </c>
      <c r="L20" s="5" t="s">
        <v>2</v>
      </c>
      <c r="M20" s="5" t="s">
        <v>914</v>
      </c>
      <c r="N20" s="5" t="s">
        <v>491</v>
      </c>
      <c r="O20" s="5" t="s">
        <v>75</v>
      </c>
      <c r="P20" s="5" t="s">
        <v>9</v>
      </c>
      <c r="XFD20"/>
    </row>
    <row r="21" spans="1:16 16384:16384" s="5" customFormat="1">
      <c r="A21" s="5" t="s">
        <v>910</v>
      </c>
      <c r="B21" s="5" t="s">
        <v>1304</v>
      </c>
      <c r="C21" s="5" t="s">
        <v>1197</v>
      </c>
      <c r="D21" s="5">
        <v>44740</v>
      </c>
      <c r="E21" s="5" t="s">
        <v>24</v>
      </c>
      <c r="F21" s="6">
        <v>43354</v>
      </c>
      <c r="G21" s="5" t="s">
        <v>502</v>
      </c>
      <c r="H21" s="5" t="s">
        <v>79</v>
      </c>
      <c r="I21" s="5" t="s">
        <v>80</v>
      </c>
      <c r="J21" s="5" t="s">
        <v>0</v>
      </c>
      <c r="K21" s="5" t="s">
        <v>1</v>
      </c>
      <c r="L21" s="5" t="s">
        <v>2</v>
      </c>
      <c r="M21" s="5" t="s">
        <v>914</v>
      </c>
      <c r="N21" s="5" t="s">
        <v>503</v>
      </c>
      <c r="O21" s="5" t="s">
        <v>203</v>
      </c>
      <c r="P21" s="5" t="s">
        <v>9</v>
      </c>
      <c r="XFD21"/>
    </row>
    <row r="22" spans="1:16 16384:16384" s="5" customFormat="1">
      <c r="A22" s="5" t="s">
        <v>910</v>
      </c>
      <c r="B22" s="5" t="s">
        <v>1305</v>
      </c>
      <c r="C22" s="5" t="s">
        <v>1197</v>
      </c>
      <c r="D22" s="5">
        <v>45163</v>
      </c>
      <c r="E22" s="5" t="s">
        <v>65</v>
      </c>
      <c r="F22" s="6">
        <v>43363</v>
      </c>
      <c r="G22" s="5" t="s">
        <v>515</v>
      </c>
      <c r="H22" s="5" t="s">
        <v>79</v>
      </c>
      <c r="I22" s="5" t="s">
        <v>80</v>
      </c>
      <c r="J22" s="5" t="s">
        <v>0</v>
      </c>
      <c r="K22" s="5" t="s">
        <v>1</v>
      </c>
      <c r="L22" s="5" t="s">
        <v>2</v>
      </c>
      <c r="M22" s="5" t="s">
        <v>914</v>
      </c>
      <c r="N22" s="5" t="s">
        <v>516</v>
      </c>
      <c r="O22" s="5" t="s">
        <v>517</v>
      </c>
      <c r="P22" s="5" t="s">
        <v>9</v>
      </c>
      <c r="XFD22"/>
    </row>
    <row r="23" spans="1:16 16384:16384" s="5" customFormat="1">
      <c r="A23" s="5" t="s">
        <v>910</v>
      </c>
      <c r="B23" s="5" t="s">
        <v>1306</v>
      </c>
      <c r="C23" s="5" t="s">
        <v>1197</v>
      </c>
      <c r="D23" s="5">
        <v>45314</v>
      </c>
      <c r="E23" s="5" t="s">
        <v>65</v>
      </c>
      <c r="F23" s="6">
        <v>43371</v>
      </c>
      <c r="G23" s="5" t="s">
        <v>520</v>
      </c>
      <c r="H23" s="5" t="s">
        <v>79</v>
      </c>
      <c r="I23" s="5" t="s">
        <v>80</v>
      </c>
      <c r="J23" s="5" t="s">
        <v>0</v>
      </c>
      <c r="K23" s="5" t="s">
        <v>1</v>
      </c>
      <c r="L23" s="5" t="s">
        <v>2</v>
      </c>
      <c r="M23" s="5" t="s">
        <v>914</v>
      </c>
      <c r="N23" s="5" t="s">
        <v>521</v>
      </c>
      <c r="O23" s="5" t="s">
        <v>522</v>
      </c>
      <c r="P23" s="5" t="s">
        <v>9</v>
      </c>
      <c r="XFD23"/>
    </row>
    <row r="24" spans="1:16 16384:16384" s="5" customFormat="1">
      <c r="A24" s="5" t="s">
        <v>910</v>
      </c>
      <c r="B24" s="5" t="s">
        <v>1307</v>
      </c>
      <c r="C24" s="5" t="s">
        <v>1197</v>
      </c>
      <c r="D24" s="5">
        <v>48347</v>
      </c>
      <c r="E24" s="5" t="s">
        <v>3</v>
      </c>
      <c r="F24" s="6">
        <v>43357</v>
      </c>
      <c r="G24" s="5" t="s">
        <v>539</v>
      </c>
      <c r="H24" s="5" t="s">
        <v>67</v>
      </c>
      <c r="I24" s="5" t="s">
        <v>68</v>
      </c>
      <c r="J24" s="5" t="s">
        <v>0</v>
      </c>
      <c r="K24" s="5" t="s">
        <v>1</v>
      </c>
      <c r="L24" s="5" t="s">
        <v>2</v>
      </c>
      <c r="M24" s="5" t="s">
        <v>914</v>
      </c>
      <c r="N24" s="5" t="s">
        <v>540</v>
      </c>
      <c r="O24" s="5" t="s">
        <v>70</v>
      </c>
      <c r="P24" s="5" t="s">
        <v>9</v>
      </c>
      <c r="XFD24"/>
    </row>
    <row r="25" spans="1:16 16384:16384" s="5" customFormat="1">
      <c r="A25" s="5" t="s">
        <v>910</v>
      </c>
      <c r="B25" s="5" t="s">
        <v>1308</v>
      </c>
      <c r="C25" s="5" t="s">
        <v>1197</v>
      </c>
      <c r="D25" s="5">
        <v>48459</v>
      </c>
      <c r="E25" s="5" t="s">
        <v>65</v>
      </c>
      <c r="F25" s="6">
        <v>43357</v>
      </c>
      <c r="G25" s="5" t="s">
        <v>541</v>
      </c>
      <c r="H25" s="5" t="s">
        <v>67</v>
      </c>
      <c r="I25" s="5" t="s">
        <v>68</v>
      </c>
      <c r="J25" s="5" t="s">
        <v>0</v>
      </c>
      <c r="K25" s="5" t="s">
        <v>1</v>
      </c>
      <c r="L25" s="5" t="s">
        <v>2</v>
      </c>
      <c r="M25" s="5" t="s">
        <v>914</v>
      </c>
      <c r="N25" s="5" t="s">
        <v>542</v>
      </c>
      <c r="O25" s="5" t="s">
        <v>70</v>
      </c>
      <c r="P25" s="5" t="s">
        <v>9</v>
      </c>
      <c r="XFD25"/>
    </row>
    <row r="26" spans="1:16 16384:16384" s="5" customFormat="1">
      <c r="A26" s="5" t="s">
        <v>910</v>
      </c>
      <c r="B26" s="5" t="s">
        <v>1309</v>
      </c>
      <c r="C26" s="5" t="s">
        <v>1197</v>
      </c>
      <c r="D26" s="5">
        <v>48468</v>
      </c>
      <c r="E26" s="5" t="s">
        <v>65</v>
      </c>
      <c r="F26" s="6">
        <v>43360</v>
      </c>
      <c r="G26" s="5" t="s">
        <v>543</v>
      </c>
      <c r="H26" s="5" t="s">
        <v>67</v>
      </c>
      <c r="I26" s="5" t="s">
        <v>68</v>
      </c>
      <c r="J26" s="5" t="s">
        <v>0</v>
      </c>
      <c r="K26" s="5" t="s">
        <v>1</v>
      </c>
      <c r="L26" s="5" t="s">
        <v>2</v>
      </c>
      <c r="M26" s="5" t="s">
        <v>914</v>
      </c>
      <c r="N26" s="5" t="s">
        <v>544</v>
      </c>
      <c r="O26" s="5" t="s">
        <v>70</v>
      </c>
      <c r="P26" s="5" t="s">
        <v>9</v>
      </c>
      <c r="XFD26"/>
    </row>
    <row r="27" spans="1:16 16384:16384" s="5" customFormat="1">
      <c r="A27" s="5" t="s">
        <v>910</v>
      </c>
      <c r="B27" s="5" t="s">
        <v>1310</v>
      </c>
      <c r="C27" s="5" t="s">
        <v>1197</v>
      </c>
      <c r="D27" s="5">
        <v>48535</v>
      </c>
      <c r="E27" s="5" t="s">
        <v>3</v>
      </c>
      <c r="F27" s="6">
        <v>43357</v>
      </c>
      <c r="G27" s="5" t="s">
        <v>545</v>
      </c>
      <c r="H27" s="5" t="s">
        <v>67</v>
      </c>
      <c r="I27" s="5" t="s">
        <v>68</v>
      </c>
      <c r="J27" s="5" t="s">
        <v>0</v>
      </c>
      <c r="K27" s="5" t="s">
        <v>1</v>
      </c>
      <c r="L27" s="5" t="s">
        <v>2</v>
      </c>
      <c r="M27" s="5" t="s">
        <v>914</v>
      </c>
      <c r="N27" s="5" t="s">
        <v>546</v>
      </c>
      <c r="O27" s="5" t="s">
        <v>70</v>
      </c>
      <c r="P27" s="5" t="s">
        <v>9</v>
      </c>
      <c r="XFD27"/>
    </row>
    <row r="28" spans="1:16 16384:16384" s="5" customFormat="1">
      <c r="A28" s="5" t="s">
        <v>910</v>
      </c>
      <c r="B28" s="5" t="s">
        <v>1311</v>
      </c>
      <c r="C28" s="5" t="s">
        <v>1197</v>
      </c>
      <c r="D28" s="5">
        <v>48604</v>
      </c>
      <c r="E28" s="5" t="s">
        <v>3</v>
      </c>
      <c r="F28" s="6">
        <v>43360</v>
      </c>
      <c r="G28" s="5" t="s">
        <v>547</v>
      </c>
      <c r="H28" s="5" t="s">
        <v>67</v>
      </c>
      <c r="I28" s="5" t="s">
        <v>68</v>
      </c>
      <c r="J28" s="5" t="s">
        <v>0</v>
      </c>
      <c r="K28" s="5" t="s">
        <v>1</v>
      </c>
      <c r="L28" s="5" t="s">
        <v>2</v>
      </c>
      <c r="M28" s="5" t="s">
        <v>914</v>
      </c>
      <c r="N28" s="5" t="s">
        <v>548</v>
      </c>
      <c r="O28" s="5" t="s">
        <v>70</v>
      </c>
      <c r="P28" s="5" t="s">
        <v>9</v>
      </c>
      <c r="XFD28"/>
    </row>
    <row r="29" spans="1:16 16384:16384" s="5" customFormat="1">
      <c r="A29" s="5" t="s">
        <v>910</v>
      </c>
      <c r="B29" s="5" t="s">
        <v>1312</v>
      </c>
      <c r="C29" s="5" t="s">
        <v>1197</v>
      </c>
      <c r="D29" s="5">
        <v>164639</v>
      </c>
      <c r="E29" s="5" t="s">
        <v>212</v>
      </c>
      <c r="F29" s="6">
        <v>43371</v>
      </c>
      <c r="G29" s="5" t="s">
        <v>726</v>
      </c>
      <c r="H29" s="5" t="s">
        <v>79</v>
      </c>
      <c r="I29" s="5" t="s">
        <v>80</v>
      </c>
      <c r="J29" s="5" t="s">
        <v>0</v>
      </c>
      <c r="K29" s="5" t="s">
        <v>1</v>
      </c>
      <c r="L29" s="5" t="s">
        <v>2</v>
      </c>
      <c r="M29" s="5" t="s">
        <v>914</v>
      </c>
      <c r="N29" s="5" t="s">
        <v>727</v>
      </c>
      <c r="O29" s="5" t="s">
        <v>517</v>
      </c>
      <c r="P29" s="5" t="s">
        <v>9</v>
      </c>
      <c r="XFD29"/>
    </row>
    <row r="30" spans="1:16 16384:16384" s="5" customFormat="1">
      <c r="A30" s="5" t="s">
        <v>910</v>
      </c>
      <c r="B30" s="5" t="s">
        <v>1313</v>
      </c>
      <c r="C30" s="5" t="s">
        <v>1197</v>
      </c>
      <c r="D30" s="5">
        <v>166499</v>
      </c>
      <c r="E30" s="5" t="s">
        <v>86</v>
      </c>
      <c r="F30" s="6">
        <v>43371</v>
      </c>
      <c r="G30" s="5" t="s">
        <v>728</v>
      </c>
      <c r="H30" s="5" t="s">
        <v>67</v>
      </c>
      <c r="I30" s="5" t="s">
        <v>68</v>
      </c>
      <c r="J30" s="5" t="s">
        <v>0</v>
      </c>
      <c r="K30" s="5" t="s">
        <v>1</v>
      </c>
      <c r="L30" s="5" t="s">
        <v>2</v>
      </c>
      <c r="M30" s="5" t="s">
        <v>914</v>
      </c>
      <c r="N30" s="5" t="s">
        <v>729</v>
      </c>
      <c r="O30" s="5" t="s">
        <v>70</v>
      </c>
      <c r="P30" s="5" t="s">
        <v>9</v>
      </c>
      <c r="XFD30"/>
    </row>
    <row r="31" spans="1:16 16384:16384" s="5" customFormat="1">
      <c r="A31" s="5" t="s">
        <v>910</v>
      </c>
      <c r="B31" s="5" t="s">
        <v>1314</v>
      </c>
      <c r="C31" s="5" t="s">
        <v>1197</v>
      </c>
      <c r="D31" s="5">
        <v>166504</v>
      </c>
      <c r="E31" s="5" t="s">
        <v>3</v>
      </c>
      <c r="F31" s="6">
        <v>43353</v>
      </c>
      <c r="G31" s="5" t="s">
        <v>730</v>
      </c>
      <c r="H31" s="5" t="s">
        <v>67</v>
      </c>
      <c r="I31" s="5" t="s">
        <v>68</v>
      </c>
      <c r="J31" s="5" t="s">
        <v>0</v>
      </c>
      <c r="K31" s="5" t="s">
        <v>1</v>
      </c>
      <c r="L31" s="5" t="s">
        <v>2</v>
      </c>
      <c r="M31" s="5" t="s">
        <v>914</v>
      </c>
      <c r="N31" s="5" t="s">
        <v>731</v>
      </c>
      <c r="O31" s="5" t="s">
        <v>70</v>
      </c>
      <c r="P31" s="5" t="s">
        <v>9</v>
      </c>
      <c r="XFD31"/>
    </row>
    <row r="32" spans="1:16 16384:16384" s="5" customFormat="1">
      <c r="A32" s="5" t="s">
        <v>910</v>
      </c>
      <c r="B32" s="5" t="s">
        <v>1315</v>
      </c>
      <c r="C32" s="5" t="s">
        <v>1197</v>
      </c>
      <c r="D32" s="5">
        <v>177859</v>
      </c>
      <c r="E32" s="5" t="s">
        <v>24</v>
      </c>
      <c r="F32" s="6">
        <v>43362</v>
      </c>
      <c r="G32" s="5" t="s">
        <v>744</v>
      </c>
      <c r="H32" s="5" t="s">
        <v>67</v>
      </c>
      <c r="I32" s="5" t="s">
        <v>68</v>
      </c>
      <c r="J32" s="5" t="s">
        <v>0</v>
      </c>
      <c r="K32" s="5" t="s">
        <v>1</v>
      </c>
      <c r="L32" s="5" t="s">
        <v>2</v>
      </c>
      <c r="M32" s="5" t="s">
        <v>914</v>
      </c>
      <c r="N32" s="5" t="s">
        <v>745</v>
      </c>
      <c r="O32" s="5" t="s">
        <v>70</v>
      </c>
      <c r="P32" s="5" t="s">
        <v>9</v>
      </c>
      <c r="XFD32"/>
    </row>
    <row r="33" spans="1:16 16384:16384" s="5" customFormat="1">
      <c r="A33" s="5" t="s">
        <v>910</v>
      </c>
      <c r="B33" s="5" t="s">
        <v>1316</v>
      </c>
      <c r="C33" s="5" t="s">
        <v>1197</v>
      </c>
      <c r="D33" s="5">
        <v>178532</v>
      </c>
      <c r="E33" s="5" t="s">
        <v>212</v>
      </c>
      <c r="F33" s="6">
        <v>43371</v>
      </c>
      <c r="G33" s="5" t="s">
        <v>750</v>
      </c>
      <c r="H33" s="5" t="s">
        <v>79</v>
      </c>
      <c r="I33" s="5" t="s">
        <v>80</v>
      </c>
      <c r="J33" s="5" t="s">
        <v>0</v>
      </c>
      <c r="K33" s="5" t="s">
        <v>1</v>
      </c>
      <c r="L33" s="5" t="s">
        <v>2</v>
      </c>
      <c r="M33" s="5" t="s">
        <v>914</v>
      </c>
      <c r="N33" s="5" t="s">
        <v>751</v>
      </c>
      <c r="O33" s="5" t="s">
        <v>522</v>
      </c>
      <c r="P33" s="5" t="s">
        <v>9</v>
      </c>
      <c r="XFD33"/>
    </row>
    <row r="34" spans="1:16 16384:16384" s="5" customFormat="1">
      <c r="A34" s="5" t="s">
        <v>910</v>
      </c>
      <c r="B34" s="5" t="s">
        <v>1317</v>
      </c>
      <c r="C34" s="5" t="s">
        <v>1197</v>
      </c>
      <c r="D34" s="5">
        <v>178638</v>
      </c>
      <c r="E34" s="5" t="s">
        <v>65</v>
      </c>
      <c r="F34" s="6">
        <v>43360</v>
      </c>
      <c r="G34" s="5" t="s">
        <v>752</v>
      </c>
      <c r="H34" s="5" t="s">
        <v>79</v>
      </c>
      <c r="I34" s="5" t="s">
        <v>80</v>
      </c>
      <c r="J34" s="5" t="s">
        <v>0</v>
      </c>
      <c r="K34" s="5" t="s">
        <v>1</v>
      </c>
      <c r="L34" s="5" t="s">
        <v>2</v>
      </c>
      <c r="M34" s="5" t="s">
        <v>914</v>
      </c>
      <c r="N34" s="5" t="s">
        <v>753</v>
      </c>
      <c r="O34" s="5" t="s">
        <v>522</v>
      </c>
      <c r="P34" s="5" t="s">
        <v>9</v>
      </c>
      <c r="XFD34"/>
    </row>
    <row r="35" spans="1:16 16384:16384" s="5" customFormat="1">
      <c r="A35" s="5" t="s">
        <v>910</v>
      </c>
      <c r="B35" s="5" t="s">
        <v>1318</v>
      </c>
      <c r="C35" s="5" t="s">
        <v>1197</v>
      </c>
      <c r="D35" s="5">
        <v>178957</v>
      </c>
      <c r="E35" s="5" t="s">
        <v>24</v>
      </c>
      <c r="F35" s="6">
        <v>43354</v>
      </c>
      <c r="G35" s="5" t="s">
        <v>756</v>
      </c>
      <c r="H35" s="5" t="s">
        <v>79</v>
      </c>
      <c r="I35" s="5" t="s">
        <v>80</v>
      </c>
      <c r="J35" s="5" t="s">
        <v>0</v>
      </c>
      <c r="K35" s="5" t="s">
        <v>1</v>
      </c>
      <c r="L35" s="5" t="s">
        <v>2</v>
      </c>
      <c r="M35" s="5" t="s">
        <v>914</v>
      </c>
      <c r="N35" s="5" t="s">
        <v>757</v>
      </c>
      <c r="O35" s="5" t="s">
        <v>517</v>
      </c>
      <c r="P35" s="5" t="s">
        <v>9</v>
      </c>
      <c r="XFD35"/>
    </row>
    <row r="36" spans="1:16 16384:16384" s="5" customFormat="1">
      <c r="A36" s="5" t="s">
        <v>910</v>
      </c>
      <c r="B36" s="5" t="s">
        <v>1319</v>
      </c>
      <c r="C36" s="5" t="s">
        <v>1197</v>
      </c>
      <c r="D36" s="5">
        <v>179542</v>
      </c>
      <c r="E36" s="5" t="s">
        <v>86</v>
      </c>
      <c r="F36" s="6">
        <v>43371</v>
      </c>
      <c r="G36" s="5" t="s">
        <v>758</v>
      </c>
      <c r="H36" s="5" t="s">
        <v>67</v>
      </c>
      <c r="I36" s="5" t="s">
        <v>68</v>
      </c>
      <c r="J36" s="5" t="s">
        <v>0</v>
      </c>
      <c r="K36" s="5" t="s">
        <v>1</v>
      </c>
      <c r="L36" s="5" t="s">
        <v>2</v>
      </c>
      <c r="M36" s="5" t="s">
        <v>914</v>
      </c>
      <c r="N36" s="5" t="s">
        <v>759</v>
      </c>
      <c r="O36" s="5" t="s">
        <v>70</v>
      </c>
      <c r="P36" s="5" t="s">
        <v>9</v>
      </c>
      <c r="XFD36"/>
    </row>
    <row r="37" spans="1:16 16384:16384" s="5" customFormat="1">
      <c r="A37" s="5" t="s">
        <v>910</v>
      </c>
      <c r="B37" s="5" t="s">
        <v>1320</v>
      </c>
      <c r="C37" s="5" t="s">
        <v>1197</v>
      </c>
      <c r="D37" s="5">
        <v>189148</v>
      </c>
      <c r="E37" s="5" t="s">
        <v>3</v>
      </c>
      <c r="F37" s="6">
        <v>43353</v>
      </c>
      <c r="G37" s="5" t="s">
        <v>783</v>
      </c>
      <c r="H37" s="5" t="s">
        <v>72</v>
      </c>
      <c r="I37" s="5" t="s">
        <v>73</v>
      </c>
      <c r="J37" s="5" t="s">
        <v>0</v>
      </c>
      <c r="K37" s="5" t="s">
        <v>1</v>
      </c>
      <c r="L37" s="5" t="s">
        <v>2</v>
      </c>
      <c r="M37" s="5" t="s">
        <v>914</v>
      </c>
      <c r="N37" s="5" t="s">
        <v>784</v>
      </c>
      <c r="O37" s="5" t="s">
        <v>75</v>
      </c>
      <c r="P37" s="5" t="s">
        <v>9</v>
      </c>
      <c r="XFD37"/>
    </row>
    <row r="38" spans="1:16 16384:16384" s="5" customFormat="1">
      <c r="A38" s="5" t="s">
        <v>910</v>
      </c>
      <c r="B38" s="5" t="s">
        <v>1321</v>
      </c>
      <c r="C38" s="5" t="s">
        <v>1197</v>
      </c>
      <c r="D38" s="5">
        <v>197510</v>
      </c>
      <c r="E38" s="5" t="s">
        <v>3</v>
      </c>
      <c r="F38" s="6">
        <v>43367</v>
      </c>
      <c r="G38" s="5" t="s">
        <v>801</v>
      </c>
      <c r="H38" s="5" t="s">
        <v>67</v>
      </c>
      <c r="I38" s="5" t="s">
        <v>68</v>
      </c>
      <c r="J38" s="5" t="s">
        <v>0</v>
      </c>
      <c r="K38" s="5" t="s">
        <v>1</v>
      </c>
      <c r="L38" s="5" t="s">
        <v>2</v>
      </c>
      <c r="M38" s="5" t="s">
        <v>914</v>
      </c>
      <c r="N38" s="5" t="s">
        <v>802</v>
      </c>
      <c r="O38" s="5" t="s">
        <v>70</v>
      </c>
      <c r="P38" s="5" t="s">
        <v>9</v>
      </c>
      <c r="XFD38"/>
    </row>
    <row r="39" spans="1:16 16384:16384" s="5" customFormat="1">
      <c r="A39" s="5" t="s">
        <v>910</v>
      </c>
      <c r="B39" s="5" t="s">
        <v>1322</v>
      </c>
      <c r="C39" s="5" t="s">
        <v>1197</v>
      </c>
      <c r="D39" s="5">
        <v>198366</v>
      </c>
      <c r="E39" s="5" t="s">
        <v>86</v>
      </c>
      <c r="F39" s="6">
        <v>43371</v>
      </c>
      <c r="G39" s="5" t="s">
        <v>804</v>
      </c>
      <c r="H39" s="5" t="s">
        <v>67</v>
      </c>
      <c r="I39" s="5" t="s">
        <v>68</v>
      </c>
      <c r="J39" s="5" t="s">
        <v>0</v>
      </c>
      <c r="K39" s="5" t="s">
        <v>1</v>
      </c>
      <c r="L39" s="5" t="s">
        <v>2</v>
      </c>
      <c r="M39" s="5" t="s">
        <v>914</v>
      </c>
      <c r="N39" s="5" t="s">
        <v>805</v>
      </c>
      <c r="O39" s="5" t="s">
        <v>70</v>
      </c>
      <c r="P39" s="5" t="s">
        <v>9</v>
      </c>
      <c r="XFD39"/>
    </row>
    <row r="40" spans="1:16 16384:16384" s="5" customFormat="1">
      <c r="A40" s="5" t="s">
        <v>910</v>
      </c>
      <c r="B40" s="5" t="s">
        <v>1323</v>
      </c>
      <c r="C40" s="5" t="s">
        <v>1197</v>
      </c>
      <c r="D40" s="5">
        <v>227469</v>
      </c>
      <c r="E40" s="5" t="s">
        <v>212</v>
      </c>
      <c r="F40" s="6">
        <v>43371</v>
      </c>
      <c r="G40" s="5" t="s">
        <v>811</v>
      </c>
      <c r="H40" s="5" t="s">
        <v>79</v>
      </c>
      <c r="I40" s="5" t="s">
        <v>80</v>
      </c>
      <c r="J40" s="5" t="s">
        <v>0</v>
      </c>
      <c r="K40" s="5" t="s">
        <v>1</v>
      </c>
      <c r="L40" s="5" t="s">
        <v>2</v>
      </c>
      <c r="M40" s="5" t="s">
        <v>914</v>
      </c>
      <c r="N40" s="5" t="s">
        <v>812</v>
      </c>
      <c r="O40" s="5" t="s">
        <v>82</v>
      </c>
      <c r="P40" s="5" t="s">
        <v>9</v>
      </c>
      <c r="XFD40"/>
    </row>
    <row r="41" spans="1:16 16384:16384" s="5" customFormat="1">
      <c r="A41" s="5" t="s">
        <v>910</v>
      </c>
      <c r="B41" s="5" t="s">
        <v>1324</v>
      </c>
      <c r="C41" s="5" t="s">
        <v>1197</v>
      </c>
      <c r="D41" s="5">
        <v>228491</v>
      </c>
      <c r="E41" s="5" t="s">
        <v>24</v>
      </c>
      <c r="F41" s="6">
        <v>43353</v>
      </c>
      <c r="G41" s="5" t="s">
        <v>813</v>
      </c>
      <c r="H41" s="5" t="s">
        <v>67</v>
      </c>
      <c r="I41" s="5" t="s">
        <v>68</v>
      </c>
      <c r="J41" s="5" t="s">
        <v>0</v>
      </c>
      <c r="K41" s="5" t="s">
        <v>1</v>
      </c>
      <c r="L41" s="5" t="s">
        <v>2</v>
      </c>
      <c r="M41" s="5" t="s">
        <v>914</v>
      </c>
      <c r="N41" s="5" t="s">
        <v>814</v>
      </c>
      <c r="O41" s="5" t="s">
        <v>815</v>
      </c>
      <c r="P41" s="5" t="s">
        <v>9</v>
      </c>
      <c r="XFD41"/>
    </row>
    <row r="42" spans="1:16 16384:16384" s="5" customFormat="1">
      <c r="A42" s="5" t="s">
        <v>910</v>
      </c>
      <c r="B42" s="5" t="s">
        <v>1325</v>
      </c>
      <c r="C42" s="5" t="s">
        <v>1197</v>
      </c>
      <c r="D42" s="5">
        <v>282144</v>
      </c>
      <c r="E42" s="5" t="s">
        <v>212</v>
      </c>
      <c r="F42" s="6">
        <v>43371</v>
      </c>
      <c r="G42" s="5" t="s">
        <v>824</v>
      </c>
      <c r="H42" s="5" t="s">
        <v>67</v>
      </c>
      <c r="I42" s="5" t="s">
        <v>68</v>
      </c>
      <c r="J42" s="5" t="s">
        <v>0</v>
      </c>
      <c r="K42" s="5" t="s">
        <v>1</v>
      </c>
      <c r="L42" s="5" t="s">
        <v>2</v>
      </c>
      <c r="M42" s="5" t="s">
        <v>914</v>
      </c>
      <c r="N42" s="5" t="s">
        <v>825</v>
      </c>
      <c r="O42" s="5" t="s">
        <v>70</v>
      </c>
      <c r="P42" s="5" t="s">
        <v>9</v>
      </c>
      <c r="XFD42"/>
    </row>
    <row r="43" spans="1:16 16384:16384" s="5" customFormat="1">
      <c r="A43" s="5" t="s">
        <v>910</v>
      </c>
      <c r="B43" s="5" t="s">
        <v>1326</v>
      </c>
      <c r="C43" s="5" t="s">
        <v>1197</v>
      </c>
      <c r="D43" s="5">
        <v>375406</v>
      </c>
      <c r="E43" s="5" t="s">
        <v>86</v>
      </c>
      <c r="F43" s="6">
        <v>43371</v>
      </c>
      <c r="G43" s="5" t="s">
        <v>831</v>
      </c>
      <c r="H43" s="5" t="s">
        <v>79</v>
      </c>
      <c r="I43" s="5" t="s">
        <v>80</v>
      </c>
      <c r="J43" s="5" t="s">
        <v>0</v>
      </c>
      <c r="K43" s="5" t="s">
        <v>1</v>
      </c>
      <c r="L43" s="5" t="s">
        <v>2</v>
      </c>
      <c r="M43" s="5" t="s">
        <v>914</v>
      </c>
      <c r="N43" s="5" t="s">
        <v>832</v>
      </c>
      <c r="O43" s="5" t="s">
        <v>203</v>
      </c>
      <c r="P43" s="5" t="s">
        <v>9</v>
      </c>
      <c r="XFD43"/>
    </row>
    <row r="44" spans="1:16 16384:16384" s="5" customFormat="1">
      <c r="A44" s="5" t="s">
        <v>910</v>
      </c>
      <c r="B44" s="5" t="s">
        <v>1327</v>
      </c>
      <c r="C44" s="5" t="s">
        <v>1197</v>
      </c>
      <c r="D44" s="5">
        <v>447450</v>
      </c>
      <c r="E44" s="5" t="s">
        <v>86</v>
      </c>
      <c r="F44" s="6">
        <v>43357</v>
      </c>
      <c r="G44" s="5" t="s">
        <v>846</v>
      </c>
      <c r="H44" s="5" t="s">
        <v>79</v>
      </c>
      <c r="I44" s="5" t="s">
        <v>80</v>
      </c>
      <c r="J44" s="5" t="s">
        <v>0</v>
      </c>
      <c r="K44" s="5" t="s">
        <v>1</v>
      </c>
      <c r="L44" s="5" t="s">
        <v>2</v>
      </c>
      <c r="M44" s="5" t="s">
        <v>914</v>
      </c>
      <c r="N44" s="5" t="s">
        <v>847</v>
      </c>
      <c r="O44" s="5" t="s">
        <v>203</v>
      </c>
      <c r="P44" s="5" t="s">
        <v>9</v>
      </c>
      <c r="XFD44"/>
    </row>
    <row r="45" spans="1:16 16384:16384" s="5" customFormat="1">
      <c r="A45" s="5" t="s">
        <v>910</v>
      </c>
      <c r="B45" s="5" t="s">
        <v>1328</v>
      </c>
      <c r="C45" s="5" t="s">
        <v>1197</v>
      </c>
      <c r="D45" s="5">
        <v>505302</v>
      </c>
      <c r="E45" s="5" t="s">
        <v>24</v>
      </c>
      <c r="F45" s="6">
        <v>43353</v>
      </c>
      <c r="G45" s="5" t="s">
        <v>883</v>
      </c>
      <c r="H45" s="5" t="s">
        <v>79</v>
      </c>
      <c r="I45" s="5" t="s">
        <v>80</v>
      </c>
      <c r="J45" s="5" t="s">
        <v>0</v>
      </c>
      <c r="K45" s="5" t="s">
        <v>1</v>
      </c>
      <c r="L45" s="5" t="s">
        <v>2</v>
      </c>
      <c r="M45" s="5" t="s">
        <v>914</v>
      </c>
      <c r="N45" s="5" t="s">
        <v>884</v>
      </c>
      <c r="O45" s="5" t="s">
        <v>82</v>
      </c>
      <c r="P45" s="5" t="s">
        <v>9</v>
      </c>
      <c r="XFD45"/>
    </row>
    <row r="46" spans="1:16 16384:16384" s="5" customFormat="1">
      <c r="A46" s="5" t="s">
        <v>910</v>
      </c>
      <c r="B46" s="5" t="s">
        <v>1329</v>
      </c>
      <c r="C46" s="5" t="s">
        <v>1197</v>
      </c>
      <c r="D46" s="5">
        <v>506273</v>
      </c>
      <c r="E46" s="5" t="s">
        <v>3</v>
      </c>
      <c r="F46" s="6">
        <v>43360</v>
      </c>
      <c r="G46" s="5" t="s">
        <v>885</v>
      </c>
      <c r="H46" s="5" t="s">
        <v>67</v>
      </c>
      <c r="I46" s="5" t="s">
        <v>68</v>
      </c>
      <c r="J46" s="5" t="s">
        <v>0</v>
      </c>
      <c r="K46" s="5" t="s">
        <v>1</v>
      </c>
      <c r="L46" s="5" t="s">
        <v>2</v>
      </c>
      <c r="M46" s="5" t="s">
        <v>914</v>
      </c>
      <c r="N46" s="5" t="s">
        <v>886</v>
      </c>
      <c r="O46" s="5" t="s">
        <v>70</v>
      </c>
      <c r="P46" s="5" t="s">
        <v>9</v>
      </c>
      <c r="XFD46"/>
    </row>
    <row r="47" spans="1:16 16384:16384" s="5" customFormat="1">
      <c r="A47" s="5" t="s">
        <v>910</v>
      </c>
      <c r="B47" s="5" t="s">
        <v>1330</v>
      </c>
      <c r="C47" s="5" t="s">
        <v>1197</v>
      </c>
      <c r="D47" s="5">
        <v>517357</v>
      </c>
      <c r="E47" s="5" t="s">
        <v>86</v>
      </c>
      <c r="F47" s="6">
        <v>43371</v>
      </c>
      <c r="G47" s="5" t="s">
        <v>887</v>
      </c>
      <c r="H47" s="5" t="s">
        <v>79</v>
      </c>
      <c r="I47" s="5" t="s">
        <v>80</v>
      </c>
      <c r="J47" s="5" t="s">
        <v>0</v>
      </c>
      <c r="K47" s="5" t="s">
        <v>1</v>
      </c>
      <c r="L47" s="5" t="s">
        <v>2</v>
      </c>
      <c r="M47" s="5" t="s">
        <v>914</v>
      </c>
      <c r="N47" s="5" t="s">
        <v>888</v>
      </c>
      <c r="O47" s="5" t="s">
        <v>475</v>
      </c>
      <c r="P47" s="5" t="s">
        <v>9</v>
      </c>
      <c r="XFD47"/>
    </row>
    <row r="48" spans="1:16 16384:16384" s="5" customFormat="1">
      <c r="A48" s="5" t="s">
        <v>910</v>
      </c>
      <c r="B48" s="5" t="s">
        <v>1331</v>
      </c>
      <c r="C48" s="5" t="s">
        <v>1197</v>
      </c>
      <c r="D48" s="5">
        <v>555720</v>
      </c>
      <c r="E48" s="5" t="s">
        <v>86</v>
      </c>
      <c r="F48" s="6">
        <v>43363</v>
      </c>
      <c r="G48" s="5" t="s">
        <v>889</v>
      </c>
      <c r="H48" s="5" t="s">
        <v>79</v>
      </c>
      <c r="I48" s="5" t="s">
        <v>80</v>
      </c>
      <c r="J48" s="5" t="s">
        <v>0</v>
      </c>
      <c r="K48" s="5" t="s">
        <v>1</v>
      </c>
      <c r="L48" s="5" t="s">
        <v>2</v>
      </c>
      <c r="M48" s="5" t="s">
        <v>914</v>
      </c>
      <c r="N48" s="5" t="s">
        <v>890</v>
      </c>
      <c r="O48" s="5" t="s">
        <v>203</v>
      </c>
      <c r="P48" s="5" t="s">
        <v>9</v>
      </c>
      <c r="XFD48"/>
    </row>
    <row r="49" spans="1:16 16384:16384" s="5" customFormat="1">
      <c r="A49" s="5" t="s">
        <v>910</v>
      </c>
      <c r="B49" s="5" t="s">
        <v>1332</v>
      </c>
      <c r="C49" s="5" t="s">
        <v>1197</v>
      </c>
      <c r="D49" s="5">
        <v>585322</v>
      </c>
      <c r="E49" s="5" t="s">
        <v>86</v>
      </c>
      <c r="F49" s="6">
        <v>43370</v>
      </c>
      <c r="G49" s="5" t="s">
        <v>891</v>
      </c>
      <c r="H49" s="5" t="s">
        <v>79</v>
      </c>
      <c r="I49" s="5" t="s">
        <v>80</v>
      </c>
      <c r="J49" s="5" t="s">
        <v>0</v>
      </c>
      <c r="K49" s="5" t="s">
        <v>1</v>
      </c>
      <c r="L49" s="5" t="s">
        <v>2</v>
      </c>
      <c r="M49" s="5" t="s">
        <v>914</v>
      </c>
      <c r="N49" s="5" t="s">
        <v>892</v>
      </c>
      <c r="O49" s="5" t="s">
        <v>203</v>
      </c>
      <c r="P49" s="5" t="s">
        <v>9</v>
      </c>
      <c r="XFD49"/>
    </row>
    <row r="50" spans="1:16 16384:16384" s="5" customFormat="1">
      <c r="A50" s="5" t="s">
        <v>910</v>
      </c>
      <c r="B50" s="5" t="s">
        <v>1333</v>
      </c>
      <c r="C50" s="5" t="s">
        <v>1197</v>
      </c>
      <c r="D50" s="5">
        <v>585327</v>
      </c>
      <c r="E50" s="5" t="s">
        <v>86</v>
      </c>
      <c r="F50" s="6">
        <v>43353</v>
      </c>
      <c r="G50" s="5" t="s">
        <v>893</v>
      </c>
      <c r="H50" s="5" t="s">
        <v>79</v>
      </c>
      <c r="I50" s="5" t="s">
        <v>80</v>
      </c>
      <c r="J50" s="5" t="s">
        <v>0</v>
      </c>
      <c r="K50" s="5" t="s">
        <v>1</v>
      </c>
      <c r="L50" s="5" t="s">
        <v>2</v>
      </c>
      <c r="M50" s="5" t="s">
        <v>914</v>
      </c>
      <c r="N50" s="5" t="s">
        <v>894</v>
      </c>
      <c r="O50" s="5" t="s">
        <v>203</v>
      </c>
      <c r="P50" s="5" t="s">
        <v>9</v>
      </c>
      <c r="XFD5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C99AA-5258-F64A-B608-7EC3142F721D}">
  <sheetPr codeName="Sheet6"/>
  <dimension ref="A1:XFD234"/>
  <sheetViews>
    <sheetView workbookViewId="0">
      <selection sqref="A1:XFD1048576"/>
    </sheetView>
  </sheetViews>
  <sheetFormatPr baseColWidth="10" defaultRowHeight="16"/>
  <cols>
    <col min="1" max="1" width="13.1640625" bestFit="1" customWidth="1"/>
    <col min="2" max="2" width="10.5" bestFit="1" customWidth="1"/>
    <col min="3" max="3" width="7.1640625" bestFit="1" customWidth="1"/>
    <col min="4" max="4" width="10.5" bestFit="1" customWidth="1"/>
    <col min="5" max="5" width="19.5" bestFit="1" customWidth="1"/>
    <col min="6" max="6" width="16.83203125" bestFit="1" customWidth="1"/>
    <col min="7" max="7" width="255.83203125" bestFit="1" customWidth="1"/>
    <col min="8" max="8" width="21.83203125" bestFit="1" customWidth="1"/>
    <col min="9" max="9" width="57.1640625" bestFit="1" customWidth="1"/>
    <col min="10" max="10" width="22" bestFit="1" customWidth="1"/>
    <col min="11" max="11" width="15.5" bestFit="1" customWidth="1"/>
    <col min="12" max="12" width="11.6640625" bestFit="1" customWidth="1"/>
    <col min="13" max="13" width="28.5" bestFit="1" customWidth="1"/>
    <col min="14" max="14" width="14.83203125" bestFit="1" customWidth="1"/>
    <col min="15" max="15" width="20.33203125" bestFit="1" customWidth="1"/>
    <col min="16" max="16" width="24.5" bestFit="1" customWidth="1"/>
  </cols>
  <sheetData>
    <row r="1" spans="1:16 16384:16384" s="7" customFormat="1">
      <c r="A1" s="7" t="s">
        <v>944</v>
      </c>
      <c r="B1" s="7" t="s">
        <v>1195</v>
      </c>
      <c r="C1" s="7" t="s">
        <v>1193</v>
      </c>
      <c r="D1" s="7" t="s">
        <v>912</v>
      </c>
      <c r="E1" s="7" t="s">
        <v>898</v>
      </c>
      <c r="F1" s="7" t="s">
        <v>899</v>
      </c>
      <c r="G1" s="7" t="s">
        <v>900</v>
      </c>
      <c r="H1" s="7" t="s">
        <v>901</v>
      </c>
      <c r="I1" s="7" t="s">
        <v>902</v>
      </c>
      <c r="J1" s="7" t="s">
        <v>903</v>
      </c>
      <c r="K1" s="7" t="s">
        <v>904</v>
      </c>
      <c r="L1" s="7" t="s">
        <v>905</v>
      </c>
      <c r="M1" s="7" t="s">
        <v>906</v>
      </c>
      <c r="N1" s="7" t="s">
        <v>907</v>
      </c>
      <c r="O1" s="7" t="s">
        <v>908</v>
      </c>
      <c r="P1" s="7" t="s">
        <v>909</v>
      </c>
      <c r="XFD1"/>
    </row>
    <row r="2" spans="1:16 16384:16384" s="5" customFormat="1">
      <c r="A2" s="5" t="s">
        <v>911</v>
      </c>
      <c r="B2" s="5" t="s">
        <v>1334</v>
      </c>
      <c r="C2" s="5" t="s">
        <v>1197</v>
      </c>
      <c r="D2" s="5">
        <v>6821</v>
      </c>
      <c r="E2" s="5" t="s">
        <v>3</v>
      </c>
      <c r="F2" s="6">
        <v>42828</v>
      </c>
      <c r="G2" s="5" t="s">
        <v>89</v>
      </c>
      <c r="H2" s="5" t="s">
        <v>90</v>
      </c>
      <c r="I2" s="5" t="s">
        <v>91</v>
      </c>
      <c r="J2" s="5" t="s">
        <v>0</v>
      </c>
      <c r="K2" s="5" t="s">
        <v>1</v>
      </c>
      <c r="L2" s="5" t="s">
        <v>2</v>
      </c>
      <c r="M2" s="5" t="s">
        <v>915</v>
      </c>
      <c r="N2" s="5" t="s">
        <v>92</v>
      </c>
      <c r="O2" s="5" t="s">
        <v>93</v>
      </c>
      <c r="P2" s="5" t="s">
        <v>9</v>
      </c>
      <c r="XFD2"/>
    </row>
    <row r="3" spans="1:16 16384:16384" s="5" customFormat="1">
      <c r="A3" s="5" t="s">
        <v>911</v>
      </c>
      <c r="B3" s="5" t="s">
        <v>1335</v>
      </c>
      <c r="C3" s="5" t="s">
        <v>1197</v>
      </c>
      <c r="D3" s="5">
        <v>8272</v>
      </c>
      <c r="E3" s="5" t="s">
        <v>3</v>
      </c>
      <c r="F3" s="6">
        <v>42864</v>
      </c>
      <c r="G3" s="5" t="s">
        <v>101</v>
      </c>
      <c r="H3" s="5" t="s">
        <v>102</v>
      </c>
      <c r="I3" s="5" t="s">
        <v>103</v>
      </c>
      <c r="J3" s="5" t="s">
        <v>0</v>
      </c>
      <c r="K3" s="5" t="s">
        <v>1</v>
      </c>
      <c r="L3" s="5" t="s">
        <v>2</v>
      </c>
      <c r="M3" s="5" t="s">
        <v>915</v>
      </c>
      <c r="N3" s="5" t="s">
        <v>104</v>
      </c>
      <c r="O3" s="5" t="s">
        <v>105</v>
      </c>
      <c r="P3" s="5" t="s">
        <v>9</v>
      </c>
      <c r="XFD3"/>
    </row>
    <row r="4" spans="1:16 16384:16384" s="5" customFormat="1">
      <c r="A4" s="5" t="s">
        <v>911</v>
      </c>
      <c r="B4" s="5" t="s">
        <v>1336</v>
      </c>
      <c r="C4" s="5" t="s">
        <v>1197</v>
      </c>
      <c r="D4" s="5">
        <v>8273</v>
      </c>
      <c r="E4" s="5" t="s">
        <v>3</v>
      </c>
      <c r="F4" s="6">
        <v>42864</v>
      </c>
      <c r="G4" s="5" t="s">
        <v>106</v>
      </c>
      <c r="H4" s="5" t="s">
        <v>102</v>
      </c>
      <c r="I4" s="5" t="s">
        <v>103</v>
      </c>
      <c r="J4" s="5" t="s">
        <v>0</v>
      </c>
      <c r="K4" s="5" t="s">
        <v>1</v>
      </c>
      <c r="L4" s="5" t="s">
        <v>2</v>
      </c>
      <c r="M4" s="5" t="s">
        <v>915</v>
      </c>
      <c r="N4" s="5" t="s">
        <v>107</v>
      </c>
      <c r="O4" s="5" t="s">
        <v>105</v>
      </c>
      <c r="P4" s="5" t="s">
        <v>9</v>
      </c>
      <c r="XFD4"/>
    </row>
    <row r="5" spans="1:16 16384:16384" s="5" customFormat="1">
      <c r="A5" s="5" t="s">
        <v>911</v>
      </c>
      <c r="B5" s="5" t="s">
        <v>1337</v>
      </c>
      <c r="C5" s="5" t="s">
        <v>1197</v>
      </c>
      <c r="D5" s="5">
        <v>8274</v>
      </c>
      <c r="E5" s="5" t="s">
        <v>24</v>
      </c>
      <c r="F5" s="6">
        <v>42864</v>
      </c>
      <c r="G5" s="5" t="s">
        <v>108</v>
      </c>
      <c r="H5" s="5" t="s">
        <v>109</v>
      </c>
      <c r="I5" s="5" t="s">
        <v>110</v>
      </c>
      <c r="J5" s="5" t="s">
        <v>0</v>
      </c>
      <c r="K5" s="5" t="s">
        <v>1</v>
      </c>
      <c r="L5" s="5" t="s">
        <v>2</v>
      </c>
      <c r="M5" s="5" t="s">
        <v>915</v>
      </c>
      <c r="N5" s="5" t="s">
        <v>111</v>
      </c>
      <c r="O5" s="5" t="s">
        <v>105</v>
      </c>
      <c r="P5" s="5" t="s">
        <v>9</v>
      </c>
      <c r="XFD5"/>
    </row>
    <row r="6" spans="1:16 16384:16384" s="5" customFormat="1">
      <c r="A6" s="5" t="s">
        <v>911</v>
      </c>
      <c r="B6" s="5" t="s">
        <v>1338</v>
      </c>
      <c r="C6" s="5" t="s">
        <v>1197</v>
      </c>
      <c r="D6" s="5">
        <v>8275</v>
      </c>
      <c r="E6" s="5" t="s">
        <v>3</v>
      </c>
      <c r="F6" s="6">
        <v>42864</v>
      </c>
      <c r="G6" s="5" t="s">
        <v>112</v>
      </c>
      <c r="H6" s="5" t="s">
        <v>102</v>
      </c>
      <c r="I6" s="5" t="s">
        <v>103</v>
      </c>
      <c r="J6" s="5" t="s">
        <v>0</v>
      </c>
      <c r="K6" s="5" t="s">
        <v>1</v>
      </c>
      <c r="L6" s="5" t="s">
        <v>2</v>
      </c>
      <c r="M6" s="5" t="s">
        <v>915</v>
      </c>
      <c r="N6" s="5" t="s">
        <v>113</v>
      </c>
      <c r="O6" s="5" t="s">
        <v>105</v>
      </c>
      <c r="P6" s="5" t="s">
        <v>9</v>
      </c>
      <c r="XFD6"/>
    </row>
    <row r="7" spans="1:16 16384:16384" s="5" customFormat="1">
      <c r="A7" s="5" t="s">
        <v>911</v>
      </c>
      <c r="B7" s="5" t="s">
        <v>1339</v>
      </c>
      <c r="C7" s="5" t="s">
        <v>1197</v>
      </c>
      <c r="D7" s="5">
        <v>12586</v>
      </c>
      <c r="E7" s="5" t="s">
        <v>3</v>
      </c>
      <c r="F7" s="6">
        <v>42828</v>
      </c>
      <c r="G7" s="5" t="s">
        <v>114</v>
      </c>
      <c r="H7" s="5" t="s">
        <v>102</v>
      </c>
      <c r="I7" s="5" t="s">
        <v>103</v>
      </c>
      <c r="J7" s="5" t="s">
        <v>0</v>
      </c>
      <c r="K7" s="5" t="s">
        <v>1</v>
      </c>
      <c r="L7" s="5" t="s">
        <v>2</v>
      </c>
      <c r="M7" s="5" t="s">
        <v>915</v>
      </c>
      <c r="N7" s="5" t="s">
        <v>115</v>
      </c>
      <c r="O7" s="5" t="s">
        <v>116</v>
      </c>
      <c r="P7" s="5" t="s">
        <v>9</v>
      </c>
      <c r="XFD7"/>
    </row>
    <row r="8" spans="1:16 16384:16384" s="5" customFormat="1">
      <c r="A8" s="5" t="s">
        <v>911</v>
      </c>
      <c r="B8" s="5" t="s">
        <v>1340</v>
      </c>
      <c r="C8" s="5" t="s">
        <v>1197</v>
      </c>
      <c r="D8" s="5">
        <v>12587</v>
      </c>
      <c r="E8" s="5" t="s">
        <v>3</v>
      </c>
      <c r="F8" s="6">
        <v>42828</v>
      </c>
      <c r="G8" s="5" t="s">
        <v>117</v>
      </c>
      <c r="H8" s="5" t="s">
        <v>118</v>
      </c>
      <c r="I8" s="5" t="s">
        <v>119</v>
      </c>
      <c r="J8" s="5" t="s">
        <v>0</v>
      </c>
      <c r="K8" s="5" t="s">
        <v>1</v>
      </c>
      <c r="L8" s="5" t="s">
        <v>2</v>
      </c>
      <c r="M8" s="5" t="s">
        <v>915</v>
      </c>
      <c r="N8" s="5" t="s">
        <v>120</v>
      </c>
      <c r="O8" s="5" t="s">
        <v>116</v>
      </c>
      <c r="P8" s="5" t="s">
        <v>9</v>
      </c>
      <c r="XFD8"/>
    </row>
    <row r="9" spans="1:16 16384:16384" s="5" customFormat="1">
      <c r="A9" s="5" t="s">
        <v>911</v>
      </c>
      <c r="B9" s="5" t="s">
        <v>1341</v>
      </c>
      <c r="C9" s="5" t="s">
        <v>1197</v>
      </c>
      <c r="D9" s="5">
        <v>12588</v>
      </c>
      <c r="E9" s="5" t="s">
        <v>3</v>
      </c>
      <c r="F9" s="6">
        <v>42828</v>
      </c>
      <c r="G9" s="5" t="s">
        <v>121</v>
      </c>
      <c r="H9" s="5" t="s">
        <v>118</v>
      </c>
      <c r="I9" s="5" t="s">
        <v>119</v>
      </c>
      <c r="J9" s="5" t="s">
        <v>0</v>
      </c>
      <c r="K9" s="5" t="s">
        <v>1</v>
      </c>
      <c r="L9" s="5" t="s">
        <v>2</v>
      </c>
      <c r="M9" s="5" t="s">
        <v>915</v>
      </c>
      <c r="N9" s="5" t="s">
        <v>122</v>
      </c>
      <c r="O9" s="5" t="s">
        <v>116</v>
      </c>
      <c r="P9" s="5" t="s">
        <v>9</v>
      </c>
      <c r="XFD9"/>
    </row>
    <row r="10" spans="1:16 16384:16384" s="5" customFormat="1">
      <c r="A10" s="5" t="s">
        <v>911</v>
      </c>
      <c r="B10" s="5" t="s">
        <v>1342</v>
      </c>
      <c r="C10" s="5" t="s">
        <v>1197</v>
      </c>
      <c r="D10" s="5">
        <v>12589</v>
      </c>
      <c r="E10" s="5" t="s">
        <v>3</v>
      </c>
      <c r="F10" s="6">
        <v>42828</v>
      </c>
      <c r="G10" s="5" t="s">
        <v>123</v>
      </c>
      <c r="H10" s="5" t="s">
        <v>118</v>
      </c>
      <c r="I10" s="5" t="s">
        <v>119</v>
      </c>
      <c r="J10" s="5" t="s">
        <v>0</v>
      </c>
      <c r="K10" s="5" t="s">
        <v>1</v>
      </c>
      <c r="L10" s="5" t="s">
        <v>2</v>
      </c>
      <c r="M10" s="5" t="s">
        <v>915</v>
      </c>
      <c r="N10" s="5" t="s">
        <v>124</v>
      </c>
      <c r="O10" s="5" t="s">
        <v>116</v>
      </c>
      <c r="P10" s="5" t="s">
        <v>9</v>
      </c>
      <c r="XFD10"/>
    </row>
    <row r="11" spans="1:16 16384:16384" s="5" customFormat="1">
      <c r="A11" s="5" t="s">
        <v>911</v>
      </c>
      <c r="B11" s="5" t="s">
        <v>1343</v>
      </c>
      <c r="C11" s="5" t="s">
        <v>1197</v>
      </c>
      <c r="D11" s="5">
        <v>12594</v>
      </c>
      <c r="E11" s="5" t="s">
        <v>3</v>
      </c>
      <c r="F11" s="6">
        <v>42828</v>
      </c>
      <c r="G11" s="5" t="s">
        <v>125</v>
      </c>
      <c r="H11" s="5" t="s">
        <v>118</v>
      </c>
      <c r="I11" s="5" t="s">
        <v>119</v>
      </c>
      <c r="J11" s="5" t="s">
        <v>0</v>
      </c>
      <c r="K11" s="5" t="s">
        <v>1</v>
      </c>
      <c r="L11" s="5" t="s">
        <v>2</v>
      </c>
      <c r="M11" s="5" t="s">
        <v>915</v>
      </c>
      <c r="N11" s="5" t="s">
        <v>126</v>
      </c>
      <c r="O11" s="5" t="s">
        <v>116</v>
      </c>
      <c r="P11" s="5" t="s">
        <v>9</v>
      </c>
      <c r="XFD11"/>
    </row>
    <row r="12" spans="1:16 16384:16384" s="5" customFormat="1">
      <c r="A12" s="5" t="s">
        <v>911</v>
      </c>
      <c r="B12" s="5" t="s">
        <v>1344</v>
      </c>
      <c r="C12" s="5" t="s">
        <v>1197</v>
      </c>
      <c r="D12" s="5">
        <v>12602</v>
      </c>
      <c r="E12" s="5" t="s">
        <v>3</v>
      </c>
      <c r="F12" s="6">
        <v>42828</v>
      </c>
      <c r="G12" s="5" t="s">
        <v>127</v>
      </c>
      <c r="H12" s="5" t="s">
        <v>128</v>
      </c>
      <c r="I12" s="5" t="s">
        <v>129</v>
      </c>
      <c r="J12" s="5" t="s">
        <v>0</v>
      </c>
      <c r="K12" s="5" t="s">
        <v>1</v>
      </c>
      <c r="L12" s="5" t="s">
        <v>2</v>
      </c>
      <c r="M12" s="5" t="s">
        <v>915</v>
      </c>
      <c r="N12" s="5" t="s">
        <v>130</v>
      </c>
      <c r="O12" s="5" t="s">
        <v>131</v>
      </c>
      <c r="P12" s="5" t="s">
        <v>9</v>
      </c>
      <c r="XFD12"/>
    </row>
    <row r="13" spans="1:16 16384:16384" s="5" customFormat="1">
      <c r="A13" s="5" t="s">
        <v>911</v>
      </c>
      <c r="B13" s="5" t="s">
        <v>1345</v>
      </c>
      <c r="C13" s="5" t="s">
        <v>1197</v>
      </c>
      <c r="D13" s="5">
        <v>12605</v>
      </c>
      <c r="E13" s="5" t="s">
        <v>3</v>
      </c>
      <c r="F13" s="6">
        <v>42828</v>
      </c>
      <c r="G13" s="5" t="s">
        <v>132</v>
      </c>
      <c r="H13" s="5" t="s">
        <v>128</v>
      </c>
      <c r="I13" s="5" t="s">
        <v>129</v>
      </c>
      <c r="J13" s="5" t="s">
        <v>0</v>
      </c>
      <c r="K13" s="5" t="s">
        <v>1</v>
      </c>
      <c r="L13" s="5" t="s">
        <v>2</v>
      </c>
      <c r="M13" s="5" t="s">
        <v>915</v>
      </c>
      <c r="N13" s="5" t="s">
        <v>133</v>
      </c>
      <c r="O13" s="5" t="s">
        <v>131</v>
      </c>
      <c r="P13" s="5" t="s">
        <v>9</v>
      </c>
      <c r="XFD13"/>
    </row>
    <row r="14" spans="1:16 16384:16384" s="5" customFormat="1">
      <c r="A14" s="5" t="s">
        <v>911</v>
      </c>
      <c r="B14" s="5" t="s">
        <v>1346</v>
      </c>
      <c r="C14" s="5" t="s">
        <v>1197</v>
      </c>
      <c r="D14" s="5">
        <v>12606</v>
      </c>
      <c r="E14" s="5" t="s">
        <v>3</v>
      </c>
      <c r="F14" s="6">
        <v>42828</v>
      </c>
      <c r="G14" s="5" t="s">
        <v>134</v>
      </c>
      <c r="H14" s="5" t="s">
        <v>128</v>
      </c>
      <c r="I14" s="5" t="s">
        <v>129</v>
      </c>
      <c r="J14" s="5" t="s">
        <v>0</v>
      </c>
      <c r="K14" s="5" t="s">
        <v>1</v>
      </c>
      <c r="L14" s="5" t="s">
        <v>2</v>
      </c>
      <c r="M14" s="5" t="s">
        <v>915</v>
      </c>
      <c r="N14" s="5" t="s">
        <v>135</v>
      </c>
      <c r="O14" s="5" t="s">
        <v>131</v>
      </c>
      <c r="P14" s="5" t="s">
        <v>9</v>
      </c>
      <c r="XFD14"/>
    </row>
    <row r="15" spans="1:16 16384:16384" s="5" customFormat="1">
      <c r="A15" s="5" t="s">
        <v>911</v>
      </c>
      <c r="B15" s="5" t="s">
        <v>1347</v>
      </c>
      <c r="C15" s="5" t="s">
        <v>1197</v>
      </c>
      <c r="D15" s="5">
        <v>12610</v>
      </c>
      <c r="E15" s="5" t="s">
        <v>3</v>
      </c>
      <c r="F15" s="6">
        <v>42828</v>
      </c>
      <c r="G15" s="5" t="s">
        <v>136</v>
      </c>
      <c r="H15" s="5" t="s">
        <v>128</v>
      </c>
      <c r="I15" s="5" t="s">
        <v>129</v>
      </c>
      <c r="J15" s="5" t="s">
        <v>0</v>
      </c>
      <c r="K15" s="5" t="s">
        <v>1</v>
      </c>
      <c r="L15" s="5" t="s">
        <v>2</v>
      </c>
      <c r="M15" s="5" t="s">
        <v>915</v>
      </c>
      <c r="N15" s="5" t="s">
        <v>137</v>
      </c>
      <c r="O15" s="5" t="s">
        <v>131</v>
      </c>
      <c r="P15" s="5" t="s">
        <v>9</v>
      </c>
      <c r="XFD15"/>
    </row>
    <row r="16" spans="1:16 16384:16384" s="5" customFormat="1">
      <c r="A16" s="5" t="s">
        <v>911</v>
      </c>
      <c r="B16" s="5" t="s">
        <v>1348</v>
      </c>
      <c r="C16" s="5" t="s">
        <v>1197</v>
      </c>
      <c r="D16" s="5">
        <v>12871</v>
      </c>
      <c r="E16" s="5" t="s">
        <v>3</v>
      </c>
      <c r="F16" s="6">
        <v>42828</v>
      </c>
      <c r="G16" s="5" t="s">
        <v>138</v>
      </c>
      <c r="H16" s="5" t="s">
        <v>118</v>
      </c>
      <c r="I16" s="5" t="s">
        <v>119</v>
      </c>
      <c r="J16" s="5" t="s">
        <v>0</v>
      </c>
      <c r="K16" s="5" t="s">
        <v>1</v>
      </c>
      <c r="L16" s="5" t="s">
        <v>2</v>
      </c>
      <c r="M16" s="5" t="s">
        <v>915</v>
      </c>
      <c r="N16" s="5" t="s">
        <v>139</v>
      </c>
      <c r="O16" s="5" t="s">
        <v>140</v>
      </c>
      <c r="P16" s="5" t="s">
        <v>9</v>
      </c>
      <c r="XFD16"/>
    </row>
    <row r="17" spans="1:16 16384:16384" s="5" customFormat="1">
      <c r="A17" s="5" t="s">
        <v>911</v>
      </c>
      <c r="B17" s="5" t="s">
        <v>1349</v>
      </c>
      <c r="C17" s="5" t="s">
        <v>1197</v>
      </c>
      <c r="D17" s="5">
        <v>13326</v>
      </c>
      <c r="E17" s="5" t="s">
        <v>3</v>
      </c>
      <c r="F17" s="6">
        <v>42828</v>
      </c>
      <c r="G17" s="5" t="s">
        <v>141</v>
      </c>
      <c r="H17" s="5" t="s">
        <v>118</v>
      </c>
      <c r="I17" s="5" t="s">
        <v>119</v>
      </c>
      <c r="J17" s="5" t="s">
        <v>0</v>
      </c>
      <c r="K17" s="5" t="s">
        <v>1</v>
      </c>
      <c r="L17" s="5" t="s">
        <v>2</v>
      </c>
      <c r="M17" s="5" t="s">
        <v>915</v>
      </c>
      <c r="N17" s="5" t="s">
        <v>142</v>
      </c>
      <c r="O17" s="5" t="s">
        <v>143</v>
      </c>
      <c r="P17" s="5" t="s">
        <v>9</v>
      </c>
      <c r="XFD17"/>
    </row>
    <row r="18" spans="1:16 16384:16384" s="5" customFormat="1">
      <c r="A18" s="5" t="s">
        <v>911</v>
      </c>
      <c r="B18" s="5" t="s">
        <v>1350</v>
      </c>
      <c r="C18" s="5" t="s">
        <v>1197</v>
      </c>
      <c r="D18" s="5">
        <v>13331</v>
      </c>
      <c r="E18" s="5" t="s">
        <v>3</v>
      </c>
      <c r="F18" s="6">
        <v>42828</v>
      </c>
      <c r="G18" s="5" t="s">
        <v>144</v>
      </c>
      <c r="H18" s="5" t="s">
        <v>145</v>
      </c>
      <c r="I18" s="5" t="s">
        <v>146</v>
      </c>
      <c r="J18" s="5" t="s">
        <v>0</v>
      </c>
      <c r="K18" s="5" t="s">
        <v>1</v>
      </c>
      <c r="L18" s="5" t="s">
        <v>2</v>
      </c>
      <c r="M18" s="5" t="s">
        <v>915</v>
      </c>
      <c r="N18" s="5" t="s">
        <v>147</v>
      </c>
      <c r="O18" s="5" t="s">
        <v>143</v>
      </c>
      <c r="P18" s="5" t="s">
        <v>9</v>
      </c>
      <c r="XFD18"/>
    </row>
    <row r="19" spans="1:16 16384:16384" s="5" customFormat="1">
      <c r="A19" s="5" t="s">
        <v>911</v>
      </c>
      <c r="B19" s="5" t="s">
        <v>1351</v>
      </c>
      <c r="C19" s="5" t="s">
        <v>1197</v>
      </c>
      <c r="D19" s="5">
        <v>13333</v>
      </c>
      <c r="E19" s="5" t="s">
        <v>3</v>
      </c>
      <c r="F19" s="6">
        <v>42828</v>
      </c>
      <c r="G19" s="5" t="s">
        <v>148</v>
      </c>
      <c r="H19" s="5" t="s">
        <v>118</v>
      </c>
      <c r="I19" s="5" t="s">
        <v>119</v>
      </c>
      <c r="J19" s="5" t="s">
        <v>0</v>
      </c>
      <c r="K19" s="5" t="s">
        <v>1</v>
      </c>
      <c r="L19" s="5" t="s">
        <v>2</v>
      </c>
      <c r="M19" s="5" t="s">
        <v>915</v>
      </c>
      <c r="N19" s="5" t="s">
        <v>149</v>
      </c>
      <c r="O19" s="5" t="s">
        <v>143</v>
      </c>
      <c r="P19" s="5" t="s">
        <v>9</v>
      </c>
      <c r="XFD19"/>
    </row>
    <row r="20" spans="1:16 16384:16384" s="5" customFormat="1">
      <c r="A20" s="5" t="s">
        <v>911</v>
      </c>
      <c r="B20" s="5" t="s">
        <v>1352</v>
      </c>
      <c r="C20" s="5" t="s">
        <v>1197</v>
      </c>
      <c r="D20" s="5">
        <v>13344</v>
      </c>
      <c r="E20" s="5" t="s">
        <v>3</v>
      </c>
      <c r="F20" s="6">
        <v>42828</v>
      </c>
      <c r="G20" s="5" t="s">
        <v>150</v>
      </c>
      <c r="H20" s="5" t="s">
        <v>145</v>
      </c>
      <c r="I20" s="5" t="s">
        <v>146</v>
      </c>
      <c r="J20" s="5" t="s">
        <v>0</v>
      </c>
      <c r="K20" s="5" t="s">
        <v>1</v>
      </c>
      <c r="L20" s="5" t="s">
        <v>2</v>
      </c>
      <c r="M20" s="5" t="s">
        <v>915</v>
      </c>
      <c r="N20" s="5" t="s">
        <v>151</v>
      </c>
      <c r="O20" s="5" t="s">
        <v>143</v>
      </c>
      <c r="P20" s="5" t="s">
        <v>9</v>
      </c>
      <c r="XFD20"/>
    </row>
    <row r="21" spans="1:16 16384:16384" s="5" customFormat="1">
      <c r="A21" s="5" t="s">
        <v>911</v>
      </c>
      <c r="B21" s="5" t="s">
        <v>1353</v>
      </c>
      <c r="C21" s="5" t="s">
        <v>1197</v>
      </c>
      <c r="D21" s="5">
        <v>13350</v>
      </c>
      <c r="E21" s="5" t="s">
        <v>3</v>
      </c>
      <c r="F21" s="6">
        <v>42864</v>
      </c>
      <c r="G21" s="5" t="s">
        <v>101</v>
      </c>
      <c r="H21" s="5" t="s">
        <v>102</v>
      </c>
      <c r="I21" s="5" t="s">
        <v>103</v>
      </c>
      <c r="J21" s="5" t="s">
        <v>0</v>
      </c>
      <c r="K21" s="5" t="s">
        <v>1</v>
      </c>
      <c r="L21" s="5" t="s">
        <v>2</v>
      </c>
      <c r="M21" s="5" t="s">
        <v>915</v>
      </c>
      <c r="N21" s="5" t="s">
        <v>152</v>
      </c>
      <c r="O21" s="5" t="s">
        <v>153</v>
      </c>
      <c r="P21" s="5" t="s">
        <v>9</v>
      </c>
      <c r="XFD21"/>
    </row>
    <row r="22" spans="1:16 16384:16384" s="5" customFormat="1">
      <c r="A22" s="5" t="s">
        <v>911</v>
      </c>
      <c r="B22" s="5" t="s">
        <v>1354</v>
      </c>
      <c r="C22" s="5" t="s">
        <v>1197</v>
      </c>
      <c r="D22" s="5">
        <v>13351</v>
      </c>
      <c r="E22" s="5" t="s">
        <v>3</v>
      </c>
      <c r="F22" s="6">
        <v>42864</v>
      </c>
      <c r="G22" s="5" t="s">
        <v>154</v>
      </c>
      <c r="H22" s="5" t="s">
        <v>102</v>
      </c>
      <c r="I22" s="5" t="s">
        <v>103</v>
      </c>
      <c r="J22" s="5" t="s">
        <v>0</v>
      </c>
      <c r="K22" s="5" t="s">
        <v>1</v>
      </c>
      <c r="L22" s="5" t="s">
        <v>2</v>
      </c>
      <c r="M22" s="5" t="s">
        <v>915</v>
      </c>
      <c r="N22" s="5" t="s">
        <v>155</v>
      </c>
      <c r="O22" s="5" t="s">
        <v>153</v>
      </c>
      <c r="P22" s="5" t="s">
        <v>9</v>
      </c>
      <c r="XFD22"/>
    </row>
    <row r="23" spans="1:16 16384:16384" s="5" customFormat="1">
      <c r="A23" s="5" t="s">
        <v>911</v>
      </c>
      <c r="B23" s="5" t="s">
        <v>1355</v>
      </c>
      <c r="C23" s="5" t="s">
        <v>1197</v>
      </c>
      <c r="D23" s="5">
        <v>13957</v>
      </c>
      <c r="E23" s="5" t="s">
        <v>3</v>
      </c>
      <c r="F23" s="6">
        <v>42828</v>
      </c>
      <c r="G23" s="5" t="s">
        <v>156</v>
      </c>
      <c r="H23" s="5" t="s">
        <v>118</v>
      </c>
      <c r="I23" s="5" t="s">
        <v>119</v>
      </c>
      <c r="J23" s="5" t="s">
        <v>0</v>
      </c>
      <c r="K23" s="5" t="s">
        <v>1</v>
      </c>
      <c r="L23" s="5" t="s">
        <v>2</v>
      </c>
      <c r="M23" s="5" t="s">
        <v>915</v>
      </c>
      <c r="N23" s="5" t="s">
        <v>157</v>
      </c>
      <c r="O23" s="5" t="s">
        <v>158</v>
      </c>
      <c r="P23" s="5" t="s">
        <v>9</v>
      </c>
      <c r="XFD23"/>
    </row>
    <row r="24" spans="1:16 16384:16384" s="5" customFormat="1">
      <c r="A24" s="5" t="s">
        <v>911</v>
      </c>
      <c r="B24" s="5" t="s">
        <v>1356</v>
      </c>
      <c r="C24" s="5" t="s">
        <v>1197</v>
      </c>
      <c r="D24" s="5">
        <v>13958</v>
      </c>
      <c r="E24" s="5" t="s">
        <v>3</v>
      </c>
      <c r="F24" s="6">
        <v>42828</v>
      </c>
      <c r="G24" s="5" t="s">
        <v>159</v>
      </c>
      <c r="H24" s="5" t="s">
        <v>118</v>
      </c>
      <c r="I24" s="5" t="s">
        <v>119</v>
      </c>
      <c r="J24" s="5" t="s">
        <v>0</v>
      </c>
      <c r="K24" s="5" t="s">
        <v>1</v>
      </c>
      <c r="L24" s="5" t="s">
        <v>2</v>
      </c>
      <c r="M24" s="5" t="s">
        <v>915</v>
      </c>
      <c r="N24" s="5" t="s">
        <v>160</v>
      </c>
      <c r="O24" s="5" t="s">
        <v>158</v>
      </c>
      <c r="P24" s="5" t="s">
        <v>9</v>
      </c>
      <c r="XFD24"/>
    </row>
    <row r="25" spans="1:16 16384:16384" s="5" customFormat="1">
      <c r="A25" s="5" t="s">
        <v>911</v>
      </c>
      <c r="B25" s="5" t="s">
        <v>1357</v>
      </c>
      <c r="C25" s="5" t="s">
        <v>1197</v>
      </c>
      <c r="D25" s="5">
        <v>13960</v>
      </c>
      <c r="E25" s="5" t="s">
        <v>3</v>
      </c>
      <c r="F25" s="6">
        <v>42828</v>
      </c>
      <c r="G25" s="5" t="s">
        <v>161</v>
      </c>
      <c r="H25" s="5" t="s">
        <v>118</v>
      </c>
      <c r="I25" s="5" t="s">
        <v>119</v>
      </c>
      <c r="J25" s="5" t="s">
        <v>0</v>
      </c>
      <c r="K25" s="5" t="s">
        <v>1</v>
      </c>
      <c r="L25" s="5" t="s">
        <v>2</v>
      </c>
      <c r="M25" s="5" t="s">
        <v>915</v>
      </c>
      <c r="N25" s="5" t="s">
        <v>162</v>
      </c>
      <c r="O25" s="5" t="s">
        <v>158</v>
      </c>
      <c r="P25" s="5" t="s">
        <v>9</v>
      </c>
      <c r="XFD25"/>
    </row>
    <row r="26" spans="1:16 16384:16384" s="5" customFormat="1">
      <c r="A26" s="5" t="s">
        <v>911</v>
      </c>
      <c r="B26" s="5" t="s">
        <v>1358</v>
      </c>
      <c r="C26" s="5" t="s">
        <v>1197</v>
      </c>
      <c r="D26" s="5">
        <v>13965</v>
      </c>
      <c r="E26" s="5" t="s">
        <v>3</v>
      </c>
      <c r="F26" s="6">
        <v>42828</v>
      </c>
      <c r="G26" s="5" t="s">
        <v>163</v>
      </c>
      <c r="H26" s="5" t="s">
        <v>102</v>
      </c>
      <c r="I26" s="5" t="s">
        <v>103</v>
      </c>
      <c r="J26" s="5" t="s">
        <v>0</v>
      </c>
      <c r="K26" s="5" t="s">
        <v>1</v>
      </c>
      <c r="L26" s="5" t="s">
        <v>2</v>
      </c>
      <c r="M26" s="5" t="s">
        <v>915</v>
      </c>
      <c r="N26" s="5" t="s">
        <v>164</v>
      </c>
      <c r="O26" s="5" t="s">
        <v>165</v>
      </c>
      <c r="P26" s="5" t="s">
        <v>9</v>
      </c>
      <c r="XFD26"/>
    </row>
    <row r="27" spans="1:16 16384:16384" s="5" customFormat="1">
      <c r="A27" s="5" t="s">
        <v>911</v>
      </c>
      <c r="B27" s="5" t="s">
        <v>1359</v>
      </c>
      <c r="C27" s="5" t="s">
        <v>1197</v>
      </c>
      <c r="D27" s="5">
        <v>13973</v>
      </c>
      <c r="E27" s="5" t="s">
        <v>3</v>
      </c>
      <c r="F27" s="6">
        <v>42828</v>
      </c>
      <c r="G27" s="5" t="s">
        <v>154</v>
      </c>
      <c r="H27" s="5" t="s">
        <v>102</v>
      </c>
      <c r="I27" s="5" t="s">
        <v>103</v>
      </c>
      <c r="J27" s="5" t="s">
        <v>0</v>
      </c>
      <c r="K27" s="5" t="s">
        <v>1</v>
      </c>
      <c r="L27" s="5" t="s">
        <v>2</v>
      </c>
      <c r="M27" s="5" t="s">
        <v>915</v>
      </c>
      <c r="N27" s="5" t="s">
        <v>166</v>
      </c>
      <c r="O27" s="5" t="s">
        <v>165</v>
      </c>
      <c r="P27" s="5" t="s">
        <v>9</v>
      </c>
      <c r="XFD27"/>
    </row>
    <row r="28" spans="1:16 16384:16384" s="5" customFormat="1">
      <c r="A28" s="5" t="s">
        <v>911</v>
      </c>
      <c r="B28" s="5" t="s">
        <v>1360</v>
      </c>
      <c r="C28" s="5" t="s">
        <v>1197</v>
      </c>
      <c r="D28" s="5">
        <v>13974</v>
      </c>
      <c r="E28" s="5" t="s">
        <v>3</v>
      </c>
      <c r="F28" s="6">
        <v>42828</v>
      </c>
      <c r="G28" s="5" t="s">
        <v>154</v>
      </c>
      <c r="H28" s="5" t="s">
        <v>102</v>
      </c>
      <c r="I28" s="5" t="s">
        <v>103</v>
      </c>
      <c r="J28" s="5" t="s">
        <v>0</v>
      </c>
      <c r="K28" s="5" t="s">
        <v>1</v>
      </c>
      <c r="L28" s="5" t="s">
        <v>2</v>
      </c>
      <c r="M28" s="5" t="s">
        <v>915</v>
      </c>
      <c r="N28" s="5" t="s">
        <v>167</v>
      </c>
      <c r="O28" s="5" t="s">
        <v>165</v>
      </c>
      <c r="P28" s="5" t="s">
        <v>9</v>
      </c>
      <c r="XFD28"/>
    </row>
    <row r="29" spans="1:16 16384:16384" s="5" customFormat="1">
      <c r="A29" s="5" t="s">
        <v>911</v>
      </c>
      <c r="B29" s="5" t="s">
        <v>1361</v>
      </c>
      <c r="C29" s="5" t="s">
        <v>1197</v>
      </c>
      <c r="D29" s="5">
        <v>13979</v>
      </c>
      <c r="E29" s="5" t="s">
        <v>3</v>
      </c>
      <c r="F29" s="6">
        <v>42828</v>
      </c>
      <c r="G29" s="5" t="s">
        <v>168</v>
      </c>
      <c r="H29" s="5" t="s">
        <v>102</v>
      </c>
      <c r="I29" s="5" t="s">
        <v>103</v>
      </c>
      <c r="J29" s="5" t="s">
        <v>0</v>
      </c>
      <c r="K29" s="5" t="s">
        <v>1</v>
      </c>
      <c r="L29" s="5" t="s">
        <v>2</v>
      </c>
      <c r="M29" s="5" t="s">
        <v>915</v>
      </c>
      <c r="N29" s="5" t="s">
        <v>169</v>
      </c>
      <c r="O29" s="5" t="s">
        <v>165</v>
      </c>
      <c r="P29" s="5" t="s">
        <v>9</v>
      </c>
      <c r="XFD29"/>
    </row>
    <row r="30" spans="1:16 16384:16384" s="5" customFormat="1">
      <c r="A30" s="5" t="s">
        <v>911</v>
      </c>
      <c r="B30" s="5" t="s">
        <v>1362</v>
      </c>
      <c r="C30" s="5" t="s">
        <v>1197</v>
      </c>
      <c r="D30" s="5">
        <v>21342</v>
      </c>
      <c r="E30" s="5" t="s">
        <v>3</v>
      </c>
      <c r="F30" s="6">
        <v>42828</v>
      </c>
      <c r="G30" s="5" t="s">
        <v>210</v>
      </c>
      <c r="H30" s="5" t="s">
        <v>109</v>
      </c>
      <c r="I30" s="5" t="s">
        <v>110</v>
      </c>
      <c r="J30" s="5" t="s">
        <v>0</v>
      </c>
      <c r="K30" s="5" t="s">
        <v>1</v>
      </c>
      <c r="L30" s="5" t="s">
        <v>2</v>
      </c>
      <c r="M30" s="5" t="s">
        <v>915</v>
      </c>
      <c r="N30" s="5" t="s">
        <v>211</v>
      </c>
      <c r="O30" s="5" t="s">
        <v>158</v>
      </c>
      <c r="P30" s="5" t="s">
        <v>9</v>
      </c>
      <c r="XFD30"/>
    </row>
    <row r="31" spans="1:16 16384:16384" s="5" customFormat="1">
      <c r="A31" s="5" t="s">
        <v>911</v>
      </c>
      <c r="B31" s="5" t="s">
        <v>1363</v>
      </c>
      <c r="C31" s="5" t="s">
        <v>1197</v>
      </c>
      <c r="D31" s="5">
        <v>36708</v>
      </c>
      <c r="E31" s="5" t="s">
        <v>65</v>
      </c>
      <c r="F31" s="6">
        <v>42843</v>
      </c>
      <c r="G31" s="5" t="s">
        <v>219</v>
      </c>
      <c r="H31" s="5" t="s">
        <v>109</v>
      </c>
      <c r="I31" s="5" t="s">
        <v>110</v>
      </c>
      <c r="J31" s="5" t="s">
        <v>0</v>
      </c>
      <c r="K31" s="5" t="s">
        <v>1</v>
      </c>
      <c r="L31" s="5" t="s">
        <v>2</v>
      </c>
      <c r="M31" s="5" t="s">
        <v>915</v>
      </c>
      <c r="N31" s="5" t="s">
        <v>220</v>
      </c>
      <c r="O31" s="5" t="s">
        <v>143</v>
      </c>
      <c r="P31" s="5" t="s">
        <v>9</v>
      </c>
      <c r="XFD31"/>
    </row>
    <row r="32" spans="1:16 16384:16384" s="5" customFormat="1">
      <c r="A32" s="5" t="s">
        <v>911</v>
      </c>
      <c r="B32" s="5" t="s">
        <v>1364</v>
      </c>
      <c r="C32" s="5" t="s">
        <v>1197</v>
      </c>
      <c r="D32" s="5">
        <v>36709</v>
      </c>
      <c r="E32" s="5" t="s">
        <v>65</v>
      </c>
      <c r="F32" s="6">
        <v>42843</v>
      </c>
      <c r="G32" s="5" t="s">
        <v>219</v>
      </c>
      <c r="H32" s="5" t="s">
        <v>109</v>
      </c>
      <c r="I32" s="5" t="s">
        <v>110</v>
      </c>
      <c r="J32" s="5" t="s">
        <v>0</v>
      </c>
      <c r="K32" s="5" t="s">
        <v>1</v>
      </c>
      <c r="L32" s="5" t="s">
        <v>2</v>
      </c>
      <c r="M32" s="5" t="s">
        <v>915</v>
      </c>
      <c r="N32" s="5" t="s">
        <v>221</v>
      </c>
      <c r="O32" s="5" t="s">
        <v>143</v>
      </c>
      <c r="P32" s="5" t="s">
        <v>9</v>
      </c>
      <c r="XFD32"/>
    </row>
    <row r="33" spans="1:16 16384:16384" s="5" customFormat="1">
      <c r="A33" s="5" t="s">
        <v>911</v>
      </c>
      <c r="B33" s="5" t="s">
        <v>1365</v>
      </c>
      <c r="C33" s="5" t="s">
        <v>1197</v>
      </c>
      <c r="D33" s="5">
        <v>40333</v>
      </c>
      <c r="E33" s="5" t="s">
        <v>65</v>
      </c>
      <c r="F33" s="6">
        <v>42843</v>
      </c>
      <c r="G33" s="5" t="s">
        <v>219</v>
      </c>
      <c r="H33" s="5" t="s">
        <v>109</v>
      </c>
      <c r="I33" s="5" t="s">
        <v>110</v>
      </c>
      <c r="J33" s="5" t="s">
        <v>0</v>
      </c>
      <c r="K33" s="5" t="s">
        <v>1</v>
      </c>
      <c r="L33" s="5" t="s">
        <v>2</v>
      </c>
      <c r="M33" s="5" t="s">
        <v>915</v>
      </c>
      <c r="N33" s="5" t="s">
        <v>224</v>
      </c>
      <c r="O33" s="5" t="s">
        <v>165</v>
      </c>
      <c r="P33" s="5" t="s">
        <v>9</v>
      </c>
      <c r="XFD33"/>
    </row>
    <row r="34" spans="1:16 16384:16384" s="5" customFormat="1">
      <c r="A34" s="5" t="s">
        <v>911</v>
      </c>
      <c r="B34" s="5" t="s">
        <v>1366</v>
      </c>
      <c r="C34" s="5" t="s">
        <v>1197</v>
      </c>
      <c r="D34" s="5">
        <v>40335</v>
      </c>
      <c r="E34" s="5" t="s">
        <v>65</v>
      </c>
      <c r="F34" s="6">
        <v>42828</v>
      </c>
      <c r="G34" s="5" t="s">
        <v>225</v>
      </c>
      <c r="H34" s="5" t="s">
        <v>109</v>
      </c>
      <c r="I34" s="5" t="s">
        <v>110</v>
      </c>
      <c r="J34" s="5" t="s">
        <v>0</v>
      </c>
      <c r="K34" s="5" t="s">
        <v>1</v>
      </c>
      <c r="L34" s="5" t="s">
        <v>2</v>
      </c>
      <c r="M34" s="5" t="s">
        <v>915</v>
      </c>
      <c r="N34" s="5" t="s">
        <v>226</v>
      </c>
      <c r="O34" s="5" t="s">
        <v>165</v>
      </c>
      <c r="P34" s="5" t="s">
        <v>9</v>
      </c>
      <c r="XFD34"/>
    </row>
    <row r="35" spans="1:16 16384:16384" s="5" customFormat="1">
      <c r="A35" s="5" t="s">
        <v>911</v>
      </c>
      <c r="B35" s="5" t="s">
        <v>1367</v>
      </c>
      <c r="C35" s="5" t="s">
        <v>1197</v>
      </c>
      <c r="D35" s="5">
        <v>40346</v>
      </c>
      <c r="E35" s="5" t="s">
        <v>3</v>
      </c>
      <c r="F35" s="6">
        <v>42828</v>
      </c>
      <c r="G35" s="5" t="s">
        <v>227</v>
      </c>
      <c r="H35" s="5" t="s">
        <v>102</v>
      </c>
      <c r="I35" s="5" t="s">
        <v>103</v>
      </c>
      <c r="J35" s="5" t="s">
        <v>0</v>
      </c>
      <c r="K35" s="5" t="s">
        <v>1</v>
      </c>
      <c r="L35" s="5" t="s">
        <v>2</v>
      </c>
      <c r="M35" s="5" t="s">
        <v>915</v>
      </c>
      <c r="N35" s="5" t="s">
        <v>228</v>
      </c>
      <c r="O35" s="5" t="s">
        <v>165</v>
      </c>
      <c r="P35" s="5" t="s">
        <v>9</v>
      </c>
      <c r="XFD35"/>
    </row>
    <row r="36" spans="1:16 16384:16384" s="5" customFormat="1">
      <c r="A36" s="5" t="s">
        <v>911</v>
      </c>
      <c r="B36" s="5" t="s">
        <v>1368</v>
      </c>
      <c r="C36" s="5" t="s">
        <v>1197</v>
      </c>
      <c r="D36" s="5">
        <v>40360</v>
      </c>
      <c r="E36" s="5" t="s">
        <v>65</v>
      </c>
      <c r="F36" s="6">
        <v>42828</v>
      </c>
      <c r="G36" s="5" t="s">
        <v>229</v>
      </c>
      <c r="H36" s="5" t="s">
        <v>109</v>
      </c>
      <c r="I36" s="5" t="s">
        <v>110</v>
      </c>
      <c r="J36" s="5" t="s">
        <v>0</v>
      </c>
      <c r="K36" s="5" t="s">
        <v>1</v>
      </c>
      <c r="L36" s="5" t="s">
        <v>2</v>
      </c>
      <c r="M36" s="5" t="s">
        <v>915</v>
      </c>
      <c r="N36" s="5" t="s">
        <v>230</v>
      </c>
      <c r="O36" s="5" t="s">
        <v>165</v>
      </c>
      <c r="P36" s="5" t="s">
        <v>9</v>
      </c>
      <c r="XFD36"/>
    </row>
    <row r="37" spans="1:16 16384:16384" s="5" customFormat="1">
      <c r="A37" s="5" t="s">
        <v>911</v>
      </c>
      <c r="B37" s="5" t="s">
        <v>1369</v>
      </c>
      <c r="C37" s="5" t="s">
        <v>1197</v>
      </c>
      <c r="D37" s="5">
        <v>40362</v>
      </c>
      <c r="E37" s="5" t="s">
        <v>65</v>
      </c>
      <c r="F37" s="6">
        <v>42843</v>
      </c>
      <c r="G37" s="5" t="s">
        <v>219</v>
      </c>
      <c r="H37" s="5" t="s">
        <v>109</v>
      </c>
      <c r="I37" s="5" t="s">
        <v>110</v>
      </c>
      <c r="J37" s="5" t="s">
        <v>0</v>
      </c>
      <c r="K37" s="5" t="s">
        <v>1</v>
      </c>
      <c r="L37" s="5" t="s">
        <v>2</v>
      </c>
      <c r="M37" s="5" t="s">
        <v>915</v>
      </c>
      <c r="N37" s="5" t="s">
        <v>231</v>
      </c>
      <c r="O37" s="5" t="s">
        <v>165</v>
      </c>
      <c r="P37" s="5" t="s">
        <v>9</v>
      </c>
      <c r="XFD37"/>
    </row>
    <row r="38" spans="1:16 16384:16384" s="5" customFormat="1">
      <c r="A38" s="5" t="s">
        <v>911</v>
      </c>
      <c r="B38" s="5" t="s">
        <v>1370</v>
      </c>
      <c r="C38" s="5" t="s">
        <v>1197</v>
      </c>
      <c r="D38" s="5">
        <v>40363</v>
      </c>
      <c r="E38" s="5" t="s">
        <v>65</v>
      </c>
      <c r="F38" s="6">
        <v>42843</v>
      </c>
      <c r="G38" s="5" t="s">
        <v>219</v>
      </c>
      <c r="H38" s="5" t="s">
        <v>109</v>
      </c>
      <c r="I38" s="5" t="s">
        <v>110</v>
      </c>
      <c r="J38" s="5" t="s">
        <v>0</v>
      </c>
      <c r="K38" s="5" t="s">
        <v>1</v>
      </c>
      <c r="L38" s="5" t="s">
        <v>2</v>
      </c>
      <c r="M38" s="5" t="s">
        <v>915</v>
      </c>
      <c r="N38" s="5" t="s">
        <v>232</v>
      </c>
      <c r="O38" s="5" t="s">
        <v>165</v>
      </c>
      <c r="P38" s="5" t="s">
        <v>9</v>
      </c>
      <c r="XFD38"/>
    </row>
    <row r="39" spans="1:16 16384:16384" s="5" customFormat="1">
      <c r="A39" s="5" t="s">
        <v>911</v>
      </c>
      <c r="B39" s="5" t="s">
        <v>1371</v>
      </c>
      <c r="C39" s="5" t="s">
        <v>1197</v>
      </c>
      <c r="D39" s="5">
        <v>40380</v>
      </c>
      <c r="E39" s="5" t="s">
        <v>24</v>
      </c>
      <c r="F39" s="6">
        <v>42828</v>
      </c>
      <c r="G39" s="5" t="s">
        <v>233</v>
      </c>
      <c r="H39" s="5" t="s">
        <v>109</v>
      </c>
      <c r="I39" s="5" t="s">
        <v>110</v>
      </c>
      <c r="J39" s="5" t="s">
        <v>0</v>
      </c>
      <c r="K39" s="5" t="s">
        <v>1</v>
      </c>
      <c r="L39" s="5" t="s">
        <v>2</v>
      </c>
      <c r="M39" s="5" t="s">
        <v>915</v>
      </c>
      <c r="N39" s="5" t="s">
        <v>234</v>
      </c>
      <c r="O39" s="5" t="s">
        <v>165</v>
      </c>
      <c r="P39" s="5" t="s">
        <v>9</v>
      </c>
      <c r="XFD39"/>
    </row>
    <row r="40" spans="1:16 16384:16384" s="5" customFormat="1">
      <c r="A40" s="5" t="s">
        <v>911</v>
      </c>
      <c r="B40" s="5" t="s">
        <v>1372</v>
      </c>
      <c r="C40" s="5" t="s">
        <v>1197</v>
      </c>
      <c r="D40" s="5">
        <v>40387</v>
      </c>
      <c r="E40" s="5" t="s">
        <v>3</v>
      </c>
      <c r="F40" s="6">
        <v>42828</v>
      </c>
      <c r="G40" s="5" t="s">
        <v>235</v>
      </c>
      <c r="H40" s="5" t="s">
        <v>109</v>
      </c>
      <c r="I40" s="5" t="s">
        <v>110</v>
      </c>
      <c r="J40" s="5" t="s">
        <v>0</v>
      </c>
      <c r="K40" s="5" t="s">
        <v>1</v>
      </c>
      <c r="L40" s="5" t="s">
        <v>2</v>
      </c>
      <c r="M40" s="5" t="s">
        <v>915</v>
      </c>
      <c r="N40" s="5" t="s">
        <v>236</v>
      </c>
      <c r="O40" s="5" t="s">
        <v>165</v>
      </c>
      <c r="P40" s="5" t="s">
        <v>9</v>
      </c>
      <c r="XFD40"/>
    </row>
    <row r="41" spans="1:16 16384:16384" s="5" customFormat="1">
      <c r="A41" s="5" t="s">
        <v>911</v>
      </c>
      <c r="B41" s="5" t="s">
        <v>1373</v>
      </c>
      <c r="C41" s="5" t="s">
        <v>1197</v>
      </c>
      <c r="D41" s="5">
        <v>40391</v>
      </c>
      <c r="E41" s="5" t="s">
        <v>65</v>
      </c>
      <c r="F41" s="6">
        <v>42843</v>
      </c>
      <c r="G41" s="5" t="s">
        <v>219</v>
      </c>
      <c r="H41" s="5" t="s">
        <v>109</v>
      </c>
      <c r="I41" s="5" t="s">
        <v>110</v>
      </c>
      <c r="J41" s="5" t="s">
        <v>0</v>
      </c>
      <c r="K41" s="5" t="s">
        <v>1</v>
      </c>
      <c r="L41" s="5" t="s">
        <v>2</v>
      </c>
      <c r="M41" s="5" t="s">
        <v>915</v>
      </c>
      <c r="N41" s="5" t="s">
        <v>237</v>
      </c>
      <c r="O41" s="5" t="s">
        <v>165</v>
      </c>
      <c r="P41" s="5" t="s">
        <v>9</v>
      </c>
      <c r="XFD41"/>
    </row>
    <row r="42" spans="1:16 16384:16384" s="5" customFormat="1">
      <c r="A42" s="5" t="s">
        <v>911</v>
      </c>
      <c r="B42" s="5" t="s">
        <v>1374</v>
      </c>
      <c r="C42" s="5" t="s">
        <v>1197</v>
      </c>
      <c r="D42" s="5">
        <v>40399</v>
      </c>
      <c r="E42" s="5" t="s">
        <v>65</v>
      </c>
      <c r="F42" s="6">
        <v>42843</v>
      </c>
      <c r="G42" s="5" t="s">
        <v>219</v>
      </c>
      <c r="H42" s="5" t="s">
        <v>109</v>
      </c>
      <c r="I42" s="5" t="s">
        <v>110</v>
      </c>
      <c r="J42" s="5" t="s">
        <v>0</v>
      </c>
      <c r="K42" s="5" t="s">
        <v>1</v>
      </c>
      <c r="L42" s="5" t="s">
        <v>2</v>
      </c>
      <c r="M42" s="5" t="s">
        <v>915</v>
      </c>
      <c r="N42" s="5" t="s">
        <v>238</v>
      </c>
      <c r="O42" s="5" t="s">
        <v>165</v>
      </c>
      <c r="P42" s="5" t="s">
        <v>9</v>
      </c>
      <c r="XFD42"/>
    </row>
    <row r="43" spans="1:16 16384:16384" s="5" customFormat="1">
      <c r="A43" s="5" t="s">
        <v>911</v>
      </c>
      <c r="B43" s="5" t="s">
        <v>1375</v>
      </c>
      <c r="C43" s="5" t="s">
        <v>1197</v>
      </c>
      <c r="D43" s="5">
        <v>40431</v>
      </c>
      <c r="E43" s="5" t="s">
        <v>65</v>
      </c>
      <c r="F43" s="6">
        <v>42828</v>
      </c>
      <c r="G43" s="5" t="s">
        <v>239</v>
      </c>
      <c r="H43" s="5" t="s">
        <v>109</v>
      </c>
      <c r="I43" s="5" t="s">
        <v>110</v>
      </c>
      <c r="J43" s="5" t="s">
        <v>0</v>
      </c>
      <c r="K43" s="5" t="s">
        <v>1</v>
      </c>
      <c r="L43" s="5" t="s">
        <v>2</v>
      </c>
      <c r="M43" s="5" t="s">
        <v>915</v>
      </c>
      <c r="N43" s="5" t="s">
        <v>240</v>
      </c>
      <c r="O43" s="5" t="s">
        <v>131</v>
      </c>
      <c r="P43" s="5" t="s">
        <v>9</v>
      </c>
      <c r="XFD43"/>
    </row>
    <row r="44" spans="1:16 16384:16384" s="5" customFormat="1">
      <c r="A44" s="5" t="s">
        <v>911</v>
      </c>
      <c r="B44" s="5" t="s">
        <v>1376</v>
      </c>
      <c r="C44" s="5" t="s">
        <v>1197</v>
      </c>
      <c r="D44" s="5">
        <v>40435</v>
      </c>
      <c r="E44" s="5" t="s">
        <v>24</v>
      </c>
      <c r="F44" s="6">
        <v>42828</v>
      </c>
      <c r="G44" s="5" t="s">
        <v>241</v>
      </c>
      <c r="H44" s="5" t="s">
        <v>128</v>
      </c>
      <c r="I44" s="5" t="s">
        <v>129</v>
      </c>
      <c r="J44" s="5" t="s">
        <v>0</v>
      </c>
      <c r="K44" s="5" t="s">
        <v>1</v>
      </c>
      <c r="L44" s="5" t="s">
        <v>2</v>
      </c>
      <c r="M44" s="5" t="s">
        <v>915</v>
      </c>
      <c r="N44" s="5" t="s">
        <v>242</v>
      </c>
      <c r="O44" s="5" t="s">
        <v>131</v>
      </c>
      <c r="P44" s="5" t="s">
        <v>9</v>
      </c>
      <c r="XFD44"/>
    </row>
    <row r="45" spans="1:16 16384:16384" s="5" customFormat="1">
      <c r="A45" s="5" t="s">
        <v>911</v>
      </c>
      <c r="B45" s="5" t="s">
        <v>1377</v>
      </c>
      <c r="C45" s="5" t="s">
        <v>1197</v>
      </c>
      <c r="D45" s="5">
        <v>40437</v>
      </c>
      <c r="E45" s="5" t="s">
        <v>65</v>
      </c>
      <c r="F45" s="6">
        <v>42828</v>
      </c>
      <c r="G45" s="5" t="s">
        <v>243</v>
      </c>
      <c r="H45" s="5" t="s">
        <v>109</v>
      </c>
      <c r="I45" s="5" t="s">
        <v>110</v>
      </c>
      <c r="J45" s="5" t="s">
        <v>0</v>
      </c>
      <c r="K45" s="5" t="s">
        <v>1</v>
      </c>
      <c r="L45" s="5" t="s">
        <v>2</v>
      </c>
      <c r="M45" s="5" t="s">
        <v>915</v>
      </c>
      <c r="N45" s="5" t="s">
        <v>244</v>
      </c>
      <c r="O45" s="5" t="s">
        <v>131</v>
      </c>
      <c r="P45" s="5" t="s">
        <v>9</v>
      </c>
      <c r="XFD45"/>
    </row>
    <row r="46" spans="1:16 16384:16384" s="5" customFormat="1">
      <c r="A46" s="5" t="s">
        <v>911</v>
      </c>
      <c r="B46" s="5" t="s">
        <v>1378</v>
      </c>
      <c r="C46" s="5" t="s">
        <v>1197</v>
      </c>
      <c r="D46" s="5">
        <v>40439</v>
      </c>
      <c r="E46" s="5" t="s">
        <v>86</v>
      </c>
      <c r="F46" s="6">
        <v>42828</v>
      </c>
      <c r="G46" s="5" t="s">
        <v>245</v>
      </c>
      <c r="H46" s="5" t="s">
        <v>128</v>
      </c>
      <c r="I46" s="5" t="s">
        <v>129</v>
      </c>
      <c r="J46" s="5" t="s">
        <v>0</v>
      </c>
      <c r="K46" s="5" t="s">
        <v>1</v>
      </c>
      <c r="L46" s="5" t="s">
        <v>2</v>
      </c>
      <c r="M46" s="5" t="s">
        <v>915</v>
      </c>
      <c r="N46" s="5" t="s">
        <v>246</v>
      </c>
      <c r="O46" s="5" t="s">
        <v>131</v>
      </c>
      <c r="P46" s="5" t="s">
        <v>9</v>
      </c>
      <c r="XFD46"/>
    </row>
    <row r="47" spans="1:16 16384:16384" s="5" customFormat="1">
      <c r="A47" s="5" t="s">
        <v>911</v>
      </c>
      <c r="B47" s="5" t="s">
        <v>1379</v>
      </c>
      <c r="C47" s="5" t="s">
        <v>1197</v>
      </c>
      <c r="D47" s="5">
        <v>40440</v>
      </c>
      <c r="E47" s="5" t="s">
        <v>65</v>
      </c>
      <c r="F47" s="6">
        <v>42843</v>
      </c>
      <c r="G47" s="5" t="s">
        <v>219</v>
      </c>
      <c r="H47" s="5" t="s">
        <v>109</v>
      </c>
      <c r="I47" s="5" t="s">
        <v>110</v>
      </c>
      <c r="J47" s="5" t="s">
        <v>0</v>
      </c>
      <c r="K47" s="5" t="s">
        <v>1</v>
      </c>
      <c r="L47" s="5" t="s">
        <v>2</v>
      </c>
      <c r="M47" s="5" t="s">
        <v>915</v>
      </c>
      <c r="N47" s="5" t="s">
        <v>247</v>
      </c>
      <c r="O47" s="5" t="s">
        <v>131</v>
      </c>
      <c r="P47" s="5" t="s">
        <v>9</v>
      </c>
      <c r="XFD47"/>
    </row>
    <row r="48" spans="1:16 16384:16384" s="5" customFormat="1">
      <c r="A48" s="5" t="s">
        <v>911</v>
      </c>
      <c r="B48" s="5" t="s">
        <v>1380</v>
      </c>
      <c r="C48" s="5" t="s">
        <v>1197</v>
      </c>
      <c r="D48" s="5">
        <v>40441</v>
      </c>
      <c r="E48" s="5" t="s">
        <v>65</v>
      </c>
      <c r="F48" s="6">
        <v>42843</v>
      </c>
      <c r="G48" s="5" t="s">
        <v>219</v>
      </c>
      <c r="H48" s="5" t="s">
        <v>109</v>
      </c>
      <c r="I48" s="5" t="s">
        <v>110</v>
      </c>
      <c r="J48" s="5" t="s">
        <v>0</v>
      </c>
      <c r="K48" s="5" t="s">
        <v>1</v>
      </c>
      <c r="L48" s="5" t="s">
        <v>2</v>
      </c>
      <c r="M48" s="5" t="s">
        <v>915</v>
      </c>
      <c r="N48" s="5" t="s">
        <v>248</v>
      </c>
      <c r="O48" s="5" t="s">
        <v>131</v>
      </c>
      <c r="P48" s="5" t="s">
        <v>9</v>
      </c>
      <c r="XFD48"/>
    </row>
    <row r="49" spans="1:16 16384:16384" s="5" customFormat="1">
      <c r="A49" s="5" t="s">
        <v>911</v>
      </c>
      <c r="B49" s="5" t="s">
        <v>1381</v>
      </c>
      <c r="C49" s="5" t="s">
        <v>1197</v>
      </c>
      <c r="D49" s="5">
        <v>40442</v>
      </c>
      <c r="E49" s="5" t="s">
        <v>65</v>
      </c>
      <c r="F49" s="6">
        <v>42843</v>
      </c>
      <c r="G49" s="5" t="s">
        <v>219</v>
      </c>
      <c r="H49" s="5" t="s">
        <v>109</v>
      </c>
      <c r="I49" s="5" t="s">
        <v>110</v>
      </c>
      <c r="J49" s="5" t="s">
        <v>0</v>
      </c>
      <c r="K49" s="5" t="s">
        <v>1</v>
      </c>
      <c r="L49" s="5" t="s">
        <v>2</v>
      </c>
      <c r="M49" s="5" t="s">
        <v>915</v>
      </c>
      <c r="N49" s="5" t="s">
        <v>249</v>
      </c>
      <c r="O49" s="5" t="s">
        <v>131</v>
      </c>
      <c r="P49" s="5" t="s">
        <v>9</v>
      </c>
      <c r="XFD49"/>
    </row>
    <row r="50" spans="1:16 16384:16384" s="5" customFormat="1">
      <c r="A50" s="5" t="s">
        <v>911</v>
      </c>
      <c r="B50" s="5" t="s">
        <v>1382</v>
      </c>
      <c r="C50" s="5" t="s">
        <v>1197</v>
      </c>
      <c r="D50" s="5">
        <v>40446</v>
      </c>
      <c r="E50" s="5" t="s">
        <v>65</v>
      </c>
      <c r="F50" s="6">
        <v>42843</v>
      </c>
      <c r="G50" s="5" t="s">
        <v>219</v>
      </c>
      <c r="H50" s="5" t="s">
        <v>109</v>
      </c>
      <c r="I50" s="5" t="s">
        <v>110</v>
      </c>
      <c r="J50" s="5" t="s">
        <v>0</v>
      </c>
      <c r="K50" s="5" t="s">
        <v>1</v>
      </c>
      <c r="L50" s="5" t="s">
        <v>2</v>
      </c>
      <c r="M50" s="5" t="s">
        <v>915</v>
      </c>
      <c r="N50" s="5" t="s">
        <v>250</v>
      </c>
      <c r="O50" s="5" t="s">
        <v>131</v>
      </c>
      <c r="P50" s="5" t="s">
        <v>9</v>
      </c>
      <c r="XFD50"/>
    </row>
    <row r="51" spans="1:16 16384:16384" s="5" customFormat="1">
      <c r="A51" s="5" t="s">
        <v>911</v>
      </c>
      <c r="B51" s="5" t="s">
        <v>1383</v>
      </c>
      <c r="C51" s="5" t="s">
        <v>1197</v>
      </c>
      <c r="D51" s="5">
        <v>40448</v>
      </c>
      <c r="E51" s="5" t="s">
        <v>65</v>
      </c>
      <c r="F51" s="6">
        <v>42843</v>
      </c>
      <c r="G51" s="5" t="s">
        <v>219</v>
      </c>
      <c r="H51" s="5" t="s">
        <v>109</v>
      </c>
      <c r="I51" s="5" t="s">
        <v>110</v>
      </c>
      <c r="J51" s="5" t="s">
        <v>0</v>
      </c>
      <c r="K51" s="5" t="s">
        <v>1</v>
      </c>
      <c r="L51" s="5" t="s">
        <v>2</v>
      </c>
      <c r="M51" s="5" t="s">
        <v>915</v>
      </c>
      <c r="N51" s="5" t="s">
        <v>251</v>
      </c>
      <c r="O51" s="5" t="s">
        <v>131</v>
      </c>
      <c r="P51" s="5" t="s">
        <v>9</v>
      </c>
      <c r="XFD51"/>
    </row>
    <row r="52" spans="1:16 16384:16384" s="5" customFormat="1">
      <c r="A52" s="5" t="s">
        <v>911</v>
      </c>
      <c r="B52" s="5" t="s">
        <v>1384</v>
      </c>
      <c r="C52" s="5" t="s">
        <v>1197</v>
      </c>
      <c r="D52" s="5">
        <v>40452</v>
      </c>
      <c r="E52" s="5" t="s">
        <v>3</v>
      </c>
      <c r="F52" s="6">
        <v>42828</v>
      </c>
      <c r="G52" s="5" t="s">
        <v>252</v>
      </c>
      <c r="H52" s="5" t="s">
        <v>118</v>
      </c>
      <c r="I52" s="5" t="s">
        <v>119</v>
      </c>
      <c r="J52" s="5" t="s">
        <v>0</v>
      </c>
      <c r="K52" s="5" t="s">
        <v>1</v>
      </c>
      <c r="L52" s="5" t="s">
        <v>2</v>
      </c>
      <c r="M52" s="5" t="s">
        <v>915</v>
      </c>
      <c r="N52" s="5" t="s">
        <v>253</v>
      </c>
      <c r="O52" s="5" t="s">
        <v>116</v>
      </c>
      <c r="P52" s="5" t="s">
        <v>9</v>
      </c>
      <c r="XFD52"/>
    </row>
    <row r="53" spans="1:16 16384:16384" s="5" customFormat="1">
      <c r="A53" s="5" t="s">
        <v>911</v>
      </c>
      <c r="B53" s="5" t="s">
        <v>1385</v>
      </c>
      <c r="C53" s="5" t="s">
        <v>1197</v>
      </c>
      <c r="D53" s="5">
        <v>40454</v>
      </c>
      <c r="E53" s="5" t="s">
        <v>3</v>
      </c>
      <c r="F53" s="6">
        <v>42828</v>
      </c>
      <c r="G53" s="5" t="s">
        <v>254</v>
      </c>
      <c r="H53" s="5" t="s">
        <v>118</v>
      </c>
      <c r="I53" s="5" t="s">
        <v>119</v>
      </c>
      <c r="J53" s="5" t="s">
        <v>0</v>
      </c>
      <c r="K53" s="5" t="s">
        <v>1</v>
      </c>
      <c r="L53" s="5" t="s">
        <v>2</v>
      </c>
      <c r="M53" s="5" t="s">
        <v>915</v>
      </c>
      <c r="N53" s="5" t="s">
        <v>255</v>
      </c>
      <c r="O53" s="5" t="s">
        <v>116</v>
      </c>
      <c r="P53" s="5" t="s">
        <v>9</v>
      </c>
      <c r="XFD53"/>
    </row>
    <row r="54" spans="1:16 16384:16384" s="5" customFormat="1">
      <c r="A54" s="5" t="s">
        <v>911</v>
      </c>
      <c r="B54" s="5" t="s">
        <v>1386</v>
      </c>
      <c r="C54" s="5" t="s">
        <v>1197</v>
      </c>
      <c r="D54" s="5">
        <v>40484</v>
      </c>
      <c r="E54" s="5" t="s">
        <v>24</v>
      </c>
      <c r="F54" s="6">
        <v>42828</v>
      </c>
      <c r="G54" s="5" t="s">
        <v>256</v>
      </c>
      <c r="H54" s="5" t="s">
        <v>118</v>
      </c>
      <c r="I54" s="5" t="s">
        <v>119</v>
      </c>
      <c r="J54" s="5" t="s">
        <v>0</v>
      </c>
      <c r="K54" s="5" t="s">
        <v>1</v>
      </c>
      <c r="L54" s="5" t="s">
        <v>2</v>
      </c>
      <c r="M54" s="5" t="s">
        <v>915</v>
      </c>
      <c r="N54" s="5" t="s">
        <v>257</v>
      </c>
      <c r="O54" s="5" t="s">
        <v>143</v>
      </c>
      <c r="P54" s="5" t="s">
        <v>9</v>
      </c>
      <c r="XFD54"/>
    </row>
    <row r="55" spans="1:16 16384:16384" s="5" customFormat="1">
      <c r="A55" s="5" t="s">
        <v>911</v>
      </c>
      <c r="B55" s="5" t="s">
        <v>1387</v>
      </c>
      <c r="C55" s="5" t="s">
        <v>1197</v>
      </c>
      <c r="D55" s="5">
        <v>40504</v>
      </c>
      <c r="E55" s="5" t="s">
        <v>86</v>
      </c>
      <c r="F55" s="6">
        <v>42828</v>
      </c>
      <c r="G55" s="5" t="s">
        <v>258</v>
      </c>
      <c r="H55" s="5" t="s">
        <v>109</v>
      </c>
      <c r="I55" s="5" t="s">
        <v>110</v>
      </c>
      <c r="J55" s="5" t="s">
        <v>0</v>
      </c>
      <c r="K55" s="5" t="s">
        <v>1</v>
      </c>
      <c r="L55" s="5" t="s">
        <v>2</v>
      </c>
      <c r="M55" s="5" t="s">
        <v>915</v>
      </c>
      <c r="N55" s="5" t="s">
        <v>259</v>
      </c>
      <c r="O55" s="5" t="s">
        <v>143</v>
      </c>
      <c r="P55" s="5" t="s">
        <v>9</v>
      </c>
      <c r="XFD55"/>
    </row>
    <row r="56" spans="1:16 16384:16384" s="5" customFormat="1">
      <c r="A56" s="5" t="s">
        <v>911</v>
      </c>
      <c r="B56" s="5" t="s">
        <v>1388</v>
      </c>
      <c r="C56" s="5" t="s">
        <v>1197</v>
      </c>
      <c r="D56" s="5">
        <v>40511</v>
      </c>
      <c r="E56" s="5" t="s">
        <v>212</v>
      </c>
      <c r="F56" s="6">
        <v>42843</v>
      </c>
      <c r="G56" s="5" t="s">
        <v>260</v>
      </c>
      <c r="H56" s="5" t="s">
        <v>109</v>
      </c>
      <c r="I56" s="5" t="s">
        <v>110</v>
      </c>
      <c r="J56" s="5" t="s">
        <v>0</v>
      </c>
      <c r="K56" s="5" t="s">
        <v>1</v>
      </c>
      <c r="L56" s="5" t="s">
        <v>2</v>
      </c>
      <c r="M56" s="5" t="s">
        <v>915</v>
      </c>
      <c r="N56" s="5" t="s">
        <v>261</v>
      </c>
      <c r="O56" s="5" t="s">
        <v>143</v>
      </c>
      <c r="P56" s="5" t="s">
        <v>9</v>
      </c>
      <c r="XFD56"/>
    </row>
    <row r="57" spans="1:16 16384:16384" s="5" customFormat="1">
      <c r="A57" s="5" t="s">
        <v>911</v>
      </c>
      <c r="B57" s="5" t="s">
        <v>1389</v>
      </c>
      <c r="C57" s="5" t="s">
        <v>1197</v>
      </c>
      <c r="D57" s="5">
        <v>40513</v>
      </c>
      <c r="E57" s="5" t="s">
        <v>3</v>
      </c>
      <c r="F57" s="6">
        <v>42828</v>
      </c>
      <c r="G57" s="5" t="s">
        <v>262</v>
      </c>
      <c r="H57" s="5" t="s">
        <v>118</v>
      </c>
      <c r="I57" s="5" t="s">
        <v>119</v>
      </c>
      <c r="J57" s="5" t="s">
        <v>0</v>
      </c>
      <c r="K57" s="5" t="s">
        <v>1</v>
      </c>
      <c r="L57" s="5" t="s">
        <v>2</v>
      </c>
      <c r="M57" s="5" t="s">
        <v>915</v>
      </c>
      <c r="N57" s="5" t="s">
        <v>263</v>
      </c>
      <c r="O57" s="5" t="s">
        <v>143</v>
      </c>
      <c r="P57" s="5" t="s">
        <v>9</v>
      </c>
      <c r="XFD57"/>
    </row>
    <row r="58" spans="1:16 16384:16384" s="5" customFormat="1">
      <c r="A58" s="5" t="s">
        <v>911</v>
      </c>
      <c r="B58" s="5" t="s">
        <v>1390</v>
      </c>
      <c r="C58" s="5" t="s">
        <v>1197</v>
      </c>
      <c r="D58" s="5">
        <v>40516</v>
      </c>
      <c r="E58" s="5" t="s">
        <v>65</v>
      </c>
      <c r="F58" s="6">
        <v>42828</v>
      </c>
      <c r="G58" s="5" t="s">
        <v>264</v>
      </c>
      <c r="H58" s="5" t="s">
        <v>109</v>
      </c>
      <c r="I58" s="5" t="s">
        <v>110</v>
      </c>
      <c r="J58" s="5" t="s">
        <v>0</v>
      </c>
      <c r="K58" s="5" t="s">
        <v>1</v>
      </c>
      <c r="L58" s="5" t="s">
        <v>2</v>
      </c>
      <c r="M58" s="5" t="s">
        <v>915</v>
      </c>
      <c r="N58" s="5" t="s">
        <v>265</v>
      </c>
      <c r="O58" s="5" t="s">
        <v>143</v>
      </c>
      <c r="P58" s="5" t="s">
        <v>9</v>
      </c>
      <c r="XFD58"/>
    </row>
    <row r="59" spans="1:16 16384:16384" s="5" customFormat="1">
      <c r="A59" s="5" t="s">
        <v>911</v>
      </c>
      <c r="B59" s="5" t="s">
        <v>1391</v>
      </c>
      <c r="C59" s="5" t="s">
        <v>1197</v>
      </c>
      <c r="D59" s="5">
        <v>40520</v>
      </c>
      <c r="E59" s="5" t="s">
        <v>3</v>
      </c>
      <c r="F59" s="6">
        <v>42828</v>
      </c>
      <c r="G59" s="5" t="s">
        <v>266</v>
      </c>
      <c r="H59" s="5" t="s">
        <v>109</v>
      </c>
      <c r="I59" s="5" t="s">
        <v>110</v>
      </c>
      <c r="J59" s="5" t="s">
        <v>0</v>
      </c>
      <c r="K59" s="5" t="s">
        <v>1</v>
      </c>
      <c r="L59" s="5" t="s">
        <v>2</v>
      </c>
      <c r="M59" s="5" t="s">
        <v>915</v>
      </c>
      <c r="N59" s="5" t="s">
        <v>267</v>
      </c>
      <c r="O59" s="5" t="s">
        <v>143</v>
      </c>
      <c r="P59" s="5" t="s">
        <v>9</v>
      </c>
      <c r="XFD59"/>
    </row>
    <row r="60" spans="1:16 16384:16384" s="5" customFormat="1">
      <c r="A60" s="5" t="s">
        <v>911</v>
      </c>
      <c r="B60" s="5" t="s">
        <v>1392</v>
      </c>
      <c r="C60" s="5" t="s">
        <v>1197</v>
      </c>
      <c r="D60" s="5">
        <v>40522</v>
      </c>
      <c r="E60" s="5" t="s">
        <v>3</v>
      </c>
      <c r="F60" s="6">
        <v>42828</v>
      </c>
      <c r="G60" s="5" t="s">
        <v>268</v>
      </c>
      <c r="H60" s="5" t="s">
        <v>118</v>
      </c>
      <c r="I60" s="5" t="s">
        <v>119</v>
      </c>
      <c r="J60" s="5" t="s">
        <v>0</v>
      </c>
      <c r="K60" s="5" t="s">
        <v>1</v>
      </c>
      <c r="L60" s="5" t="s">
        <v>2</v>
      </c>
      <c r="M60" s="5" t="s">
        <v>915</v>
      </c>
      <c r="N60" s="5" t="s">
        <v>269</v>
      </c>
      <c r="O60" s="5" t="s">
        <v>143</v>
      </c>
      <c r="P60" s="5" t="s">
        <v>9</v>
      </c>
      <c r="XFD60"/>
    </row>
    <row r="61" spans="1:16 16384:16384" s="5" customFormat="1">
      <c r="A61" s="5" t="s">
        <v>911</v>
      </c>
      <c r="B61" s="5" t="s">
        <v>1393</v>
      </c>
      <c r="C61" s="5" t="s">
        <v>1197</v>
      </c>
      <c r="D61" s="5">
        <v>40530</v>
      </c>
      <c r="E61" s="5" t="s">
        <v>65</v>
      </c>
      <c r="F61" s="6">
        <v>42828</v>
      </c>
      <c r="G61" s="5" t="s">
        <v>270</v>
      </c>
      <c r="H61" s="5" t="s">
        <v>109</v>
      </c>
      <c r="I61" s="5" t="s">
        <v>110</v>
      </c>
      <c r="J61" s="5" t="s">
        <v>0</v>
      </c>
      <c r="K61" s="5" t="s">
        <v>1</v>
      </c>
      <c r="L61" s="5" t="s">
        <v>2</v>
      </c>
      <c r="M61" s="5" t="s">
        <v>915</v>
      </c>
      <c r="N61" s="5" t="s">
        <v>271</v>
      </c>
      <c r="O61" s="5" t="s">
        <v>143</v>
      </c>
      <c r="P61" s="5" t="s">
        <v>9</v>
      </c>
      <c r="XFD61"/>
    </row>
    <row r="62" spans="1:16 16384:16384" s="5" customFormat="1">
      <c r="A62" s="5" t="s">
        <v>911</v>
      </c>
      <c r="B62" s="5" t="s">
        <v>1394</v>
      </c>
      <c r="C62" s="5" t="s">
        <v>1197</v>
      </c>
      <c r="D62" s="5">
        <v>40536</v>
      </c>
      <c r="E62" s="5" t="s">
        <v>65</v>
      </c>
      <c r="F62" s="6">
        <v>42828</v>
      </c>
      <c r="G62" s="5" t="s">
        <v>272</v>
      </c>
      <c r="H62" s="5" t="s">
        <v>109</v>
      </c>
      <c r="I62" s="5" t="s">
        <v>110</v>
      </c>
      <c r="J62" s="5" t="s">
        <v>0</v>
      </c>
      <c r="K62" s="5" t="s">
        <v>1</v>
      </c>
      <c r="L62" s="5" t="s">
        <v>2</v>
      </c>
      <c r="M62" s="5" t="s">
        <v>915</v>
      </c>
      <c r="N62" s="5" t="s">
        <v>273</v>
      </c>
      <c r="O62" s="5" t="s">
        <v>143</v>
      </c>
      <c r="P62" s="5" t="s">
        <v>9</v>
      </c>
      <c r="XFD62"/>
    </row>
    <row r="63" spans="1:16 16384:16384" s="5" customFormat="1">
      <c r="A63" s="5" t="s">
        <v>911</v>
      </c>
      <c r="B63" s="5" t="s">
        <v>1395</v>
      </c>
      <c r="C63" s="5" t="s">
        <v>1197</v>
      </c>
      <c r="D63" s="5">
        <v>40541</v>
      </c>
      <c r="E63" s="5" t="s">
        <v>65</v>
      </c>
      <c r="F63" s="6">
        <v>42843</v>
      </c>
      <c r="G63" s="5" t="s">
        <v>219</v>
      </c>
      <c r="H63" s="5" t="s">
        <v>109</v>
      </c>
      <c r="I63" s="5" t="s">
        <v>110</v>
      </c>
      <c r="J63" s="5" t="s">
        <v>0</v>
      </c>
      <c r="K63" s="5" t="s">
        <v>1</v>
      </c>
      <c r="L63" s="5" t="s">
        <v>2</v>
      </c>
      <c r="M63" s="5" t="s">
        <v>915</v>
      </c>
      <c r="N63" s="5" t="s">
        <v>274</v>
      </c>
      <c r="O63" s="5" t="s">
        <v>143</v>
      </c>
      <c r="P63" s="5" t="s">
        <v>9</v>
      </c>
      <c r="XFD63"/>
    </row>
    <row r="64" spans="1:16 16384:16384" s="5" customFormat="1">
      <c r="A64" s="5" t="s">
        <v>911</v>
      </c>
      <c r="B64" s="5" t="s">
        <v>1396</v>
      </c>
      <c r="C64" s="5" t="s">
        <v>1197</v>
      </c>
      <c r="D64" s="5">
        <v>40562</v>
      </c>
      <c r="E64" s="5" t="s">
        <v>3</v>
      </c>
      <c r="F64" s="6">
        <v>42828</v>
      </c>
      <c r="G64" s="5" t="s">
        <v>275</v>
      </c>
      <c r="H64" s="5" t="s">
        <v>118</v>
      </c>
      <c r="I64" s="5" t="s">
        <v>119</v>
      </c>
      <c r="J64" s="5" t="s">
        <v>0</v>
      </c>
      <c r="K64" s="5" t="s">
        <v>1</v>
      </c>
      <c r="L64" s="5" t="s">
        <v>2</v>
      </c>
      <c r="M64" s="5" t="s">
        <v>915</v>
      </c>
      <c r="N64" s="5" t="s">
        <v>276</v>
      </c>
      <c r="O64" s="5" t="s">
        <v>143</v>
      </c>
      <c r="P64" s="5" t="s">
        <v>9</v>
      </c>
      <c r="XFD64"/>
    </row>
    <row r="65" spans="1:16 16384:16384" s="5" customFormat="1">
      <c r="A65" s="5" t="s">
        <v>911</v>
      </c>
      <c r="B65" s="5" t="s">
        <v>1397</v>
      </c>
      <c r="C65" s="5" t="s">
        <v>1197</v>
      </c>
      <c r="D65" s="5">
        <v>40567</v>
      </c>
      <c r="E65" s="5" t="s">
        <v>3</v>
      </c>
      <c r="F65" s="6">
        <v>42828</v>
      </c>
      <c r="G65" s="5" t="s">
        <v>277</v>
      </c>
      <c r="H65" s="5" t="s">
        <v>109</v>
      </c>
      <c r="I65" s="5" t="s">
        <v>110</v>
      </c>
      <c r="J65" s="5" t="s">
        <v>0</v>
      </c>
      <c r="K65" s="5" t="s">
        <v>1</v>
      </c>
      <c r="L65" s="5" t="s">
        <v>2</v>
      </c>
      <c r="M65" s="5" t="s">
        <v>915</v>
      </c>
      <c r="N65" s="5" t="s">
        <v>278</v>
      </c>
      <c r="O65" s="5" t="s">
        <v>143</v>
      </c>
      <c r="P65" s="5" t="s">
        <v>9</v>
      </c>
      <c r="XFD65"/>
    </row>
    <row r="66" spans="1:16 16384:16384" s="5" customFormat="1">
      <c r="A66" s="5" t="s">
        <v>911</v>
      </c>
      <c r="B66" s="5" t="s">
        <v>1398</v>
      </c>
      <c r="C66" s="5" t="s">
        <v>1197</v>
      </c>
      <c r="D66" s="5">
        <v>40570</v>
      </c>
      <c r="E66" s="5" t="s">
        <v>65</v>
      </c>
      <c r="F66" s="6">
        <v>42828</v>
      </c>
      <c r="G66" s="5" t="s">
        <v>279</v>
      </c>
      <c r="H66" s="5" t="s">
        <v>109</v>
      </c>
      <c r="I66" s="5" t="s">
        <v>110</v>
      </c>
      <c r="J66" s="5" t="s">
        <v>0</v>
      </c>
      <c r="K66" s="5" t="s">
        <v>1</v>
      </c>
      <c r="L66" s="5" t="s">
        <v>2</v>
      </c>
      <c r="M66" s="5" t="s">
        <v>915</v>
      </c>
      <c r="N66" s="5" t="s">
        <v>280</v>
      </c>
      <c r="O66" s="5" t="s">
        <v>143</v>
      </c>
      <c r="P66" s="5" t="s">
        <v>9</v>
      </c>
      <c r="XFD66"/>
    </row>
    <row r="67" spans="1:16 16384:16384" s="5" customFormat="1">
      <c r="A67" s="5" t="s">
        <v>911</v>
      </c>
      <c r="B67" s="5" t="s">
        <v>1399</v>
      </c>
      <c r="C67" s="5" t="s">
        <v>1197</v>
      </c>
      <c r="D67" s="5">
        <v>40583</v>
      </c>
      <c r="E67" s="5" t="s">
        <v>212</v>
      </c>
      <c r="F67" s="6">
        <v>42828</v>
      </c>
      <c r="G67" s="5" t="s">
        <v>281</v>
      </c>
      <c r="H67" s="5" t="s">
        <v>109</v>
      </c>
      <c r="I67" s="5" t="s">
        <v>110</v>
      </c>
      <c r="J67" s="5" t="s">
        <v>0</v>
      </c>
      <c r="K67" s="5" t="s">
        <v>1</v>
      </c>
      <c r="L67" s="5" t="s">
        <v>2</v>
      </c>
      <c r="M67" s="5" t="s">
        <v>915</v>
      </c>
      <c r="N67" s="5" t="s">
        <v>282</v>
      </c>
      <c r="O67" s="5" t="s">
        <v>158</v>
      </c>
      <c r="P67" s="5" t="s">
        <v>9</v>
      </c>
      <c r="XFD67"/>
    </row>
    <row r="68" spans="1:16 16384:16384" s="5" customFormat="1">
      <c r="A68" s="5" t="s">
        <v>911</v>
      </c>
      <c r="B68" s="5" t="s">
        <v>1400</v>
      </c>
      <c r="C68" s="5" t="s">
        <v>1197</v>
      </c>
      <c r="D68" s="5">
        <v>40585</v>
      </c>
      <c r="E68" s="5" t="s">
        <v>65</v>
      </c>
      <c r="F68" s="6">
        <v>42828</v>
      </c>
      <c r="G68" s="5" t="s">
        <v>283</v>
      </c>
      <c r="H68" s="5" t="s">
        <v>109</v>
      </c>
      <c r="I68" s="5" t="s">
        <v>110</v>
      </c>
      <c r="J68" s="5" t="s">
        <v>0</v>
      </c>
      <c r="K68" s="5" t="s">
        <v>1</v>
      </c>
      <c r="L68" s="5" t="s">
        <v>2</v>
      </c>
      <c r="M68" s="5" t="s">
        <v>915</v>
      </c>
      <c r="N68" s="5" t="s">
        <v>284</v>
      </c>
      <c r="O68" s="5" t="s">
        <v>158</v>
      </c>
      <c r="P68" s="5" t="s">
        <v>9</v>
      </c>
      <c r="XFD68"/>
    </row>
    <row r="69" spans="1:16 16384:16384" s="5" customFormat="1">
      <c r="A69" s="5" t="s">
        <v>911</v>
      </c>
      <c r="B69" s="5" t="s">
        <v>1401</v>
      </c>
      <c r="C69" s="5" t="s">
        <v>1197</v>
      </c>
      <c r="D69" s="5">
        <v>40588</v>
      </c>
      <c r="E69" s="5" t="s">
        <v>65</v>
      </c>
      <c r="F69" s="6">
        <v>42828</v>
      </c>
      <c r="G69" s="5" t="s">
        <v>285</v>
      </c>
      <c r="H69" s="5" t="s">
        <v>109</v>
      </c>
      <c r="I69" s="5" t="s">
        <v>110</v>
      </c>
      <c r="J69" s="5" t="s">
        <v>0</v>
      </c>
      <c r="K69" s="5" t="s">
        <v>1</v>
      </c>
      <c r="L69" s="5" t="s">
        <v>2</v>
      </c>
      <c r="M69" s="5" t="s">
        <v>915</v>
      </c>
      <c r="N69" s="5" t="s">
        <v>286</v>
      </c>
      <c r="O69" s="5" t="s">
        <v>158</v>
      </c>
      <c r="P69" s="5" t="s">
        <v>9</v>
      </c>
      <c r="XFD69"/>
    </row>
    <row r="70" spans="1:16 16384:16384" s="5" customFormat="1">
      <c r="A70" s="5" t="s">
        <v>911</v>
      </c>
      <c r="B70" s="5" t="s">
        <v>1402</v>
      </c>
      <c r="C70" s="5" t="s">
        <v>1197</v>
      </c>
      <c r="D70" s="5">
        <v>40599</v>
      </c>
      <c r="E70" s="5" t="s">
        <v>3</v>
      </c>
      <c r="F70" s="6">
        <v>42828</v>
      </c>
      <c r="G70" s="5" t="s">
        <v>210</v>
      </c>
      <c r="H70" s="5" t="s">
        <v>109</v>
      </c>
      <c r="I70" s="5" t="s">
        <v>110</v>
      </c>
      <c r="J70" s="5" t="s">
        <v>0</v>
      </c>
      <c r="K70" s="5" t="s">
        <v>1</v>
      </c>
      <c r="L70" s="5" t="s">
        <v>2</v>
      </c>
      <c r="M70" s="5" t="s">
        <v>915</v>
      </c>
      <c r="N70" s="5" t="s">
        <v>287</v>
      </c>
      <c r="O70" s="5" t="s">
        <v>158</v>
      </c>
      <c r="P70" s="5" t="s">
        <v>9</v>
      </c>
      <c r="XFD70"/>
    </row>
    <row r="71" spans="1:16 16384:16384" s="5" customFormat="1">
      <c r="A71" s="5" t="s">
        <v>911</v>
      </c>
      <c r="B71" s="5" t="s">
        <v>1403</v>
      </c>
      <c r="C71" s="5" t="s">
        <v>1197</v>
      </c>
      <c r="D71" s="5">
        <v>40600</v>
      </c>
      <c r="E71" s="5" t="s">
        <v>24</v>
      </c>
      <c r="F71" s="6">
        <v>42828</v>
      </c>
      <c r="G71" s="5" t="s">
        <v>288</v>
      </c>
      <c r="H71" s="5" t="s">
        <v>109</v>
      </c>
      <c r="I71" s="5" t="s">
        <v>110</v>
      </c>
      <c r="J71" s="5" t="s">
        <v>0</v>
      </c>
      <c r="K71" s="5" t="s">
        <v>1</v>
      </c>
      <c r="L71" s="5" t="s">
        <v>2</v>
      </c>
      <c r="M71" s="5" t="s">
        <v>915</v>
      </c>
      <c r="N71" s="5" t="s">
        <v>289</v>
      </c>
      <c r="O71" s="5" t="s">
        <v>158</v>
      </c>
      <c r="P71" s="5" t="s">
        <v>9</v>
      </c>
      <c r="XFD71"/>
    </row>
    <row r="72" spans="1:16 16384:16384" s="5" customFormat="1">
      <c r="A72" s="5" t="s">
        <v>911</v>
      </c>
      <c r="B72" s="5" t="s">
        <v>1404</v>
      </c>
      <c r="C72" s="5" t="s">
        <v>1197</v>
      </c>
      <c r="D72" s="5">
        <v>40601</v>
      </c>
      <c r="E72" s="5" t="s">
        <v>3</v>
      </c>
      <c r="F72" s="6">
        <v>42828</v>
      </c>
      <c r="G72" s="5" t="s">
        <v>290</v>
      </c>
      <c r="H72" s="5" t="s">
        <v>109</v>
      </c>
      <c r="I72" s="5" t="s">
        <v>110</v>
      </c>
      <c r="J72" s="5" t="s">
        <v>0</v>
      </c>
      <c r="K72" s="5" t="s">
        <v>1</v>
      </c>
      <c r="L72" s="5" t="s">
        <v>2</v>
      </c>
      <c r="M72" s="5" t="s">
        <v>915</v>
      </c>
      <c r="N72" s="5" t="s">
        <v>291</v>
      </c>
      <c r="O72" s="5" t="s">
        <v>158</v>
      </c>
      <c r="P72" s="5" t="s">
        <v>9</v>
      </c>
      <c r="XFD72"/>
    </row>
    <row r="73" spans="1:16 16384:16384" s="5" customFormat="1">
      <c r="A73" s="5" t="s">
        <v>911</v>
      </c>
      <c r="B73" s="5" t="s">
        <v>1405</v>
      </c>
      <c r="C73" s="5" t="s">
        <v>1197</v>
      </c>
      <c r="D73" s="5">
        <v>40607</v>
      </c>
      <c r="E73" s="5" t="s">
        <v>24</v>
      </c>
      <c r="F73" s="6">
        <v>42828</v>
      </c>
      <c r="G73" s="5" t="s">
        <v>292</v>
      </c>
      <c r="H73" s="5" t="s">
        <v>109</v>
      </c>
      <c r="I73" s="5" t="s">
        <v>110</v>
      </c>
      <c r="J73" s="5" t="s">
        <v>0</v>
      </c>
      <c r="K73" s="5" t="s">
        <v>1</v>
      </c>
      <c r="L73" s="5" t="s">
        <v>2</v>
      </c>
      <c r="M73" s="5" t="s">
        <v>915</v>
      </c>
      <c r="N73" s="5" t="s">
        <v>293</v>
      </c>
      <c r="O73" s="5" t="s">
        <v>158</v>
      </c>
      <c r="P73" s="5" t="s">
        <v>9</v>
      </c>
      <c r="XFD73"/>
    </row>
    <row r="74" spans="1:16 16384:16384" s="5" customFormat="1">
      <c r="A74" s="5" t="s">
        <v>911</v>
      </c>
      <c r="B74" s="5" t="s">
        <v>1406</v>
      </c>
      <c r="C74" s="5" t="s">
        <v>1197</v>
      </c>
      <c r="D74" s="5">
        <v>40609</v>
      </c>
      <c r="E74" s="5" t="s">
        <v>212</v>
      </c>
      <c r="F74" s="6">
        <v>42843</v>
      </c>
      <c r="G74" s="5" t="s">
        <v>260</v>
      </c>
      <c r="H74" s="5" t="s">
        <v>109</v>
      </c>
      <c r="I74" s="5" t="s">
        <v>110</v>
      </c>
      <c r="J74" s="5" t="s">
        <v>0</v>
      </c>
      <c r="K74" s="5" t="s">
        <v>1</v>
      </c>
      <c r="L74" s="5" t="s">
        <v>2</v>
      </c>
      <c r="M74" s="5" t="s">
        <v>915</v>
      </c>
      <c r="N74" s="5" t="s">
        <v>294</v>
      </c>
      <c r="O74" s="5" t="s">
        <v>158</v>
      </c>
      <c r="P74" s="5" t="s">
        <v>9</v>
      </c>
      <c r="XFD74"/>
    </row>
    <row r="75" spans="1:16 16384:16384" s="5" customFormat="1">
      <c r="A75" s="5" t="s">
        <v>911</v>
      </c>
      <c r="B75" s="5" t="s">
        <v>1407</v>
      </c>
      <c r="C75" s="5" t="s">
        <v>1197</v>
      </c>
      <c r="D75" s="5">
        <v>40611</v>
      </c>
      <c r="E75" s="5" t="s">
        <v>65</v>
      </c>
      <c r="F75" s="6">
        <v>42843</v>
      </c>
      <c r="G75" s="5" t="s">
        <v>219</v>
      </c>
      <c r="H75" s="5" t="s">
        <v>109</v>
      </c>
      <c r="I75" s="5" t="s">
        <v>110</v>
      </c>
      <c r="J75" s="5" t="s">
        <v>0</v>
      </c>
      <c r="K75" s="5" t="s">
        <v>1</v>
      </c>
      <c r="L75" s="5" t="s">
        <v>2</v>
      </c>
      <c r="M75" s="5" t="s">
        <v>915</v>
      </c>
      <c r="N75" s="5" t="s">
        <v>295</v>
      </c>
      <c r="O75" s="5" t="s">
        <v>158</v>
      </c>
      <c r="P75" s="5" t="s">
        <v>9</v>
      </c>
      <c r="XFD75"/>
    </row>
    <row r="76" spans="1:16 16384:16384" s="5" customFormat="1">
      <c r="A76" s="5" t="s">
        <v>911</v>
      </c>
      <c r="B76" s="5" t="s">
        <v>1408</v>
      </c>
      <c r="C76" s="5" t="s">
        <v>1197</v>
      </c>
      <c r="D76" s="5">
        <v>40612</v>
      </c>
      <c r="E76" s="5" t="s">
        <v>86</v>
      </c>
      <c r="F76" s="6">
        <v>42828</v>
      </c>
      <c r="G76" s="5" t="s">
        <v>296</v>
      </c>
      <c r="H76" s="5" t="s">
        <v>109</v>
      </c>
      <c r="I76" s="5" t="s">
        <v>110</v>
      </c>
      <c r="J76" s="5" t="s">
        <v>0</v>
      </c>
      <c r="K76" s="5" t="s">
        <v>1</v>
      </c>
      <c r="L76" s="5" t="s">
        <v>2</v>
      </c>
      <c r="M76" s="5" t="s">
        <v>915</v>
      </c>
      <c r="N76" s="5" t="s">
        <v>297</v>
      </c>
      <c r="O76" s="5" t="s">
        <v>158</v>
      </c>
      <c r="P76" s="5" t="s">
        <v>9</v>
      </c>
      <c r="XFD76"/>
    </row>
    <row r="77" spans="1:16 16384:16384" s="5" customFormat="1">
      <c r="A77" s="5" t="s">
        <v>911</v>
      </c>
      <c r="B77" s="5" t="s">
        <v>1409</v>
      </c>
      <c r="C77" s="5" t="s">
        <v>1197</v>
      </c>
      <c r="D77" s="5">
        <v>40613</v>
      </c>
      <c r="E77" s="5" t="s">
        <v>24</v>
      </c>
      <c r="F77" s="6">
        <v>42828</v>
      </c>
      <c r="G77" s="5" t="s">
        <v>298</v>
      </c>
      <c r="H77" s="5" t="s">
        <v>109</v>
      </c>
      <c r="I77" s="5" t="s">
        <v>110</v>
      </c>
      <c r="J77" s="5" t="s">
        <v>0</v>
      </c>
      <c r="K77" s="5" t="s">
        <v>1</v>
      </c>
      <c r="L77" s="5" t="s">
        <v>2</v>
      </c>
      <c r="M77" s="5" t="s">
        <v>915</v>
      </c>
      <c r="N77" s="5" t="s">
        <v>299</v>
      </c>
      <c r="O77" s="5" t="s">
        <v>158</v>
      </c>
      <c r="P77" s="5" t="s">
        <v>9</v>
      </c>
      <c r="XFD77"/>
    </row>
    <row r="78" spans="1:16 16384:16384" s="5" customFormat="1">
      <c r="A78" s="5" t="s">
        <v>911</v>
      </c>
      <c r="B78" s="5" t="s">
        <v>1410</v>
      </c>
      <c r="C78" s="5" t="s">
        <v>1197</v>
      </c>
      <c r="D78" s="5">
        <v>40614</v>
      </c>
      <c r="E78" s="5" t="s">
        <v>86</v>
      </c>
      <c r="F78" s="6">
        <v>42828</v>
      </c>
      <c r="G78" s="5" t="s">
        <v>300</v>
      </c>
      <c r="H78" s="5" t="s">
        <v>109</v>
      </c>
      <c r="I78" s="5" t="s">
        <v>110</v>
      </c>
      <c r="J78" s="5" t="s">
        <v>0</v>
      </c>
      <c r="K78" s="5" t="s">
        <v>1</v>
      </c>
      <c r="L78" s="5" t="s">
        <v>2</v>
      </c>
      <c r="M78" s="5" t="s">
        <v>915</v>
      </c>
      <c r="N78" s="5" t="s">
        <v>301</v>
      </c>
      <c r="O78" s="5" t="s">
        <v>158</v>
      </c>
      <c r="P78" s="5" t="s">
        <v>9</v>
      </c>
      <c r="XFD78"/>
    </row>
    <row r="79" spans="1:16 16384:16384" s="5" customFormat="1">
      <c r="A79" s="5" t="s">
        <v>911</v>
      </c>
      <c r="B79" s="5" t="s">
        <v>1411</v>
      </c>
      <c r="C79" s="5" t="s">
        <v>1197</v>
      </c>
      <c r="D79" s="5">
        <v>40620</v>
      </c>
      <c r="E79" s="5" t="s">
        <v>65</v>
      </c>
      <c r="F79" s="6">
        <v>42843</v>
      </c>
      <c r="G79" s="5" t="s">
        <v>219</v>
      </c>
      <c r="H79" s="5" t="s">
        <v>109</v>
      </c>
      <c r="I79" s="5" t="s">
        <v>110</v>
      </c>
      <c r="J79" s="5" t="s">
        <v>0</v>
      </c>
      <c r="K79" s="5" t="s">
        <v>1</v>
      </c>
      <c r="L79" s="5" t="s">
        <v>2</v>
      </c>
      <c r="M79" s="5" t="s">
        <v>915</v>
      </c>
      <c r="N79" s="5" t="s">
        <v>302</v>
      </c>
      <c r="O79" s="5" t="s">
        <v>158</v>
      </c>
      <c r="P79" s="5" t="s">
        <v>9</v>
      </c>
      <c r="XFD79"/>
    </row>
    <row r="80" spans="1:16 16384:16384" s="5" customFormat="1">
      <c r="A80" s="5" t="s">
        <v>911</v>
      </c>
      <c r="B80" s="5" t="s">
        <v>1412</v>
      </c>
      <c r="C80" s="5" t="s">
        <v>1197</v>
      </c>
      <c r="D80" s="5">
        <v>40621</v>
      </c>
      <c r="E80" s="5" t="s">
        <v>65</v>
      </c>
      <c r="F80" s="6">
        <v>42843</v>
      </c>
      <c r="G80" s="5" t="s">
        <v>219</v>
      </c>
      <c r="H80" s="5" t="s">
        <v>109</v>
      </c>
      <c r="I80" s="5" t="s">
        <v>110</v>
      </c>
      <c r="J80" s="5" t="s">
        <v>0</v>
      </c>
      <c r="K80" s="5" t="s">
        <v>1</v>
      </c>
      <c r="L80" s="5" t="s">
        <v>2</v>
      </c>
      <c r="M80" s="5" t="s">
        <v>915</v>
      </c>
      <c r="N80" s="5" t="s">
        <v>303</v>
      </c>
      <c r="O80" s="5" t="s">
        <v>158</v>
      </c>
      <c r="P80" s="5" t="s">
        <v>9</v>
      </c>
      <c r="XFD80"/>
    </row>
    <row r="81" spans="1:16 16384:16384" s="5" customFormat="1">
      <c r="A81" s="5" t="s">
        <v>911</v>
      </c>
      <c r="B81" s="5" t="s">
        <v>1413</v>
      </c>
      <c r="C81" s="5" t="s">
        <v>1197</v>
      </c>
      <c r="D81" s="5">
        <v>40626</v>
      </c>
      <c r="E81" s="5" t="s">
        <v>65</v>
      </c>
      <c r="F81" s="6">
        <v>42843</v>
      </c>
      <c r="G81" s="5" t="s">
        <v>219</v>
      </c>
      <c r="H81" s="5" t="s">
        <v>109</v>
      </c>
      <c r="I81" s="5" t="s">
        <v>110</v>
      </c>
      <c r="J81" s="5" t="s">
        <v>0</v>
      </c>
      <c r="K81" s="5" t="s">
        <v>1</v>
      </c>
      <c r="L81" s="5" t="s">
        <v>2</v>
      </c>
      <c r="M81" s="5" t="s">
        <v>915</v>
      </c>
      <c r="N81" s="5" t="s">
        <v>304</v>
      </c>
      <c r="O81" s="5" t="s">
        <v>158</v>
      </c>
      <c r="P81" s="5" t="s">
        <v>9</v>
      </c>
      <c r="XFD81"/>
    </row>
    <row r="82" spans="1:16 16384:16384" s="5" customFormat="1">
      <c r="A82" s="5" t="s">
        <v>911</v>
      </c>
      <c r="B82" s="5" t="s">
        <v>1414</v>
      </c>
      <c r="C82" s="5" t="s">
        <v>1197</v>
      </c>
      <c r="D82" s="5">
        <v>40627</v>
      </c>
      <c r="E82" s="5" t="s">
        <v>65</v>
      </c>
      <c r="F82" s="6">
        <v>42843</v>
      </c>
      <c r="G82" s="5" t="s">
        <v>219</v>
      </c>
      <c r="H82" s="5" t="s">
        <v>109</v>
      </c>
      <c r="I82" s="5" t="s">
        <v>110</v>
      </c>
      <c r="J82" s="5" t="s">
        <v>0</v>
      </c>
      <c r="K82" s="5" t="s">
        <v>1</v>
      </c>
      <c r="L82" s="5" t="s">
        <v>2</v>
      </c>
      <c r="M82" s="5" t="s">
        <v>915</v>
      </c>
      <c r="N82" s="5" t="s">
        <v>305</v>
      </c>
      <c r="O82" s="5" t="s">
        <v>158</v>
      </c>
      <c r="P82" s="5" t="s">
        <v>9</v>
      </c>
      <c r="XFD82"/>
    </row>
    <row r="83" spans="1:16 16384:16384" s="5" customFormat="1">
      <c r="A83" s="5" t="s">
        <v>911</v>
      </c>
      <c r="B83" s="5" t="s">
        <v>1415</v>
      </c>
      <c r="C83" s="5" t="s">
        <v>1197</v>
      </c>
      <c r="D83" s="5">
        <v>40628</v>
      </c>
      <c r="E83" s="5" t="s">
        <v>65</v>
      </c>
      <c r="F83" s="6">
        <v>42843</v>
      </c>
      <c r="G83" s="5" t="s">
        <v>219</v>
      </c>
      <c r="H83" s="5" t="s">
        <v>109</v>
      </c>
      <c r="I83" s="5" t="s">
        <v>110</v>
      </c>
      <c r="J83" s="5" t="s">
        <v>0</v>
      </c>
      <c r="K83" s="5" t="s">
        <v>1</v>
      </c>
      <c r="L83" s="5" t="s">
        <v>2</v>
      </c>
      <c r="M83" s="5" t="s">
        <v>915</v>
      </c>
      <c r="N83" s="5" t="s">
        <v>306</v>
      </c>
      <c r="O83" s="5" t="s">
        <v>158</v>
      </c>
      <c r="P83" s="5" t="s">
        <v>9</v>
      </c>
      <c r="XFD83"/>
    </row>
    <row r="84" spans="1:16 16384:16384" s="5" customFormat="1">
      <c r="A84" s="5" t="s">
        <v>911</v>
      </c>
      <c r="B84" s="5" t="s">
        <v>1416</v>
      </c>
      <c r="C84" s="5" t="s">
        <v>1197</v>
      </c>
      <c r="D84" s="5">
        <v>40634</v>
      </c>
      <c r="E84" s="5" t="s">
        <v>86</v>
      </c>
      <c r="F84" s="6">
        <v>42828</v>
      </c>
      <c r="G84" s="5" t="s">
        <v>307</v>
      </c>
      <c r="H84" s="5" t="s">
        <v>109</v>
      </c>
      <c r="I84" s="5" t="s">
        <v>110</v>
      </c>
      <c r="J84" s="5" t="s">
        <v>0</v>
      </c>
      <c r="K84" s="5" t="s">
        <v>1</v>
      </c>
      <c r="L84" s="5" t="s">
        <v>2</v>
      </c>
      <c r="M84" s="5" t="s">
        <v>915</v>
      </c>
      <c r="N84" s="5" t="s">
        <v>308</v>
      </c>
      <c r="O84" s="5" t="s">
        <v>93</v>
      </c>
      <c r="P84" s="5" t="s">
        <v>9</v>
      </c>
      <c r="XFD84"/>
    </row>
    <row r="85" spans="1:16 16384:16384" s="5" customFormat="1">
      <c r="A85" s="5" t="s">
        <v>911</v>
      </c>
      <c r="B85" s="5" t="s">
        <v>1417</v>
      </c>
      <c r="C85" s="5" t="s">
        <v>1197</v>
      </c>
      <c r="D85" s="5">
        <v>40635</v>
      </c>
      <c r="E85" s="5" t="s">
        <v>65</v>
      </c>
      <c r="F85" s="6">
        <v>42828</v>
      </c>
      <c r="G85" s="5" t="s">
        <v>309</v>
      </c>
      <c r="H85" s="5" t="s">
        <v>109</v>
      </c>
      <c r="I85" s="5" t="s">
        <v>110</v>
      </c>
      <c r="J85" s="5" t="s">
        <v>0</v>
      </c>
      <c r="K85" s="5" t="s">
        <v>1</v>
      </c>
      <c r="L85" s="5" t="s">
        <v>2</v>
      </c>
      <c r="M85" s="5" t="s">
        <v>915</v>
      </c>
      <c r="N85" s="5" t="s">
        <v>310</v>
      </c>
      <c r="O85" s="5" t="s">
        <v>93</v>
      </c>
      <c r="P85" s="5" t="s">
        <v>9</v>
      </c>
      <c r="XFD85"/>
    </row>
    <row r="86" spans="1:16 16384:16384" s="5" customFormat="1">
      <c r="A86" s="5" t="s">
        <v>911</v>
      </c>
      <c r="B86" s="5" t="s">
        <v>1418</v>
      </c>
      <c r="C86" s="5" t="s">
        <v>1197</v>
      </c>
      <c r="D86" s="5">
        <v>40640</v>
      </c>
      <c r="E86" s="5" t="s">
        <v>65</v>
      </c>
      <c r="F86" s="6">
        <v>42828</v>
      </c>
      <c r="G86" s="5" t="s">
        <v>311</v>
      </c>
      <c r="H86" s="5" t="s">
        <v>109</v>
      </c>
      <c r="I86" s="5" t="s">
        <v>110</v>
      </c>
      <c r="J86" s="5" t="s">
        <v>0</v>
      </c>
      <c r="K86" s="5" t="s">
        <v>1</v>
      </c>
      <c r="L86" s="5" t="s">
        <v>2</v>
      </c>
      <c r="M86" s="5" t="s">
        <v>915</v>
      </c>
      <c r="N86" s="5" t="s">
        <v>312</v>
      </c>
      <c r="O86" s="5" t="s">
        <v>140</v>
      </c>
      <c r="P86" s="5" t="s">
        <v>9</v>
      </c>
      <c r="XFD86"/>
    </row>
    <row r="87" spans="1:16 16384:16384" s="5" customFormat="1">
      <c r="A87" s="5" t="s">
        <v>911</v>
      </c>
      <c r="B87" s="5" t="s">
        <v>1419</v>
      </c>
      <c r="C87" s="5" t="s">
        <v>1197</v>
      </c>
      <c r="D87" s="5">
        <v>40641</v>
      </c>
      <c r="E87" s="5" t="s">
        <v>65</v>
      </c>
      <c r="F87" s="6">
        <v>42828</v>
      </c>
      <c r="G87" s="5" t="s">
        <v>313</v>
      </c>
      <c r="H87" s="5" t="s">
        <v>109</v>
      </c>
      <c r="I87" s="5" t="s">
        <v>110</v>
      </c>
      <c r="J87" s="5" t="s">
        <v>0</v>
      </c>
      <c r="K87" s="5" t="s">
        <v>1</v>
      </c>
      <c r="L87" s="5" t="s">
        <v>2</v>
      </c>
      <c r="M87" s="5" t="s">
        <v>915</v>
      </c>
      <c r="N87" s="5" t="s">
        <v>314</v>
      </c>
      <c r="O87" s="5" t="s">
        <v>140</v>
      </c>
      <c r="P87" s="5" t="s">
        <v>9</v>
      </c>
      <c r="XFD87"/>
    </row>
    <row r="88" spans="1:16 16384:16384" s="5" customFormat="1">
      <c r="A88" s="5" t="s">
        <v>911</v>
      </c>
      <c r="B88" s="5" t="s">
        <v>1420</v>
      </c>
      <c r="C88" s="5" t="s">
        <v>1197</v>
      </c>
      <c r="D88" s="5">
        <v>40643</v>
      </c>
      <c r="E88" s="5" t="s">
        <v>65</v>
      </c>
      <c r="F88" s="6">
        <v>42843</v>
      </c>
      <c r="G88" s="5" t="s">
        <v>219</v>
      </c>
      <c r="H88" s="5" t="s">
        <v>109</v>
      </c>
      <c r="I88" s="5" t="s">
        <v>110</v>
      </c>
      <c r="J88" s="5" t="s">
        <v>0</v>
      </c>
      <c r="K88" s="5" t="s">
        <v>1</v>
      </c>
      <c r="L88" s="5" t="s">
        <v>2</v>
      </c>
      <c r="M88" s="5" t="s">
        <v>915</v>
      </c>
      <c r="N88" s="5" t="s">
        <v>315</v>
      </c>
      <c r="O88" s="5" t="s">
        <v>140</v>
      </c>
      <c r="P88" s="5" t="s">
        <v>9</v>
      </c>
      <c r="XFD88"/>
    </row>
    <row r="89" spans="1:16 16384:16384" s="5" customFormat="1">
      <c r="A89" s="5" t="s">
        <v>911</v>
      </c>
      <c r="B89" s="5" t="s">
        <v>1421</v>
      </c>
      <c r="C89" s="5" t="s">
        <v>1197</v>
      </c>
      <c r="D89" s="5">
        <v>40649</v>
      </c>
      <c r="E89" s="5" t="s">
        <v>3</v>
      </c>
      <c r="F89" s="6">
        <v>42828</v>
      </c>
      <c r="G89" s="5" t="s">
        <v>316</v>
      </c>
      <c r="H89" s="5" t="s">
        <v>118</v>
      </c>
      <c r="I89" s="5" t="s">
        <v>119</v>
      </c>
      <c r="J89" s="5" t="s">
        <v>0</v>
      </c>
      <c r="K89" s="5" t="s">
        <v>1</v>
      </c>
      <c r="L89" s="5" t="s">
        <v>2</v>
      </c>
      <c r="M89" s="5" t="s">
        <v>915</v>
      </c>
      <c r="N89" s="5" t="s">
        <v>317</v>
      </c>
      <c r="O89" s="5" t="s">
        <v>140</v>
      </c>
      <c r="P89" s="5" t="s">
        <v>9</v>
      </c>
      <c r="XFD89"/>
    </row>
    <row r="90" spans="1:16 16384:16384" s="5" customFormat="1">
      <c r="A90" s="5" t="s">
        <v>911</v>
      </c>
      <c r="B90" s="5" t="s">
        <v>1422</v>
      </c>
      <c r="C90" s="5" t="s">
        <v>1197</v>
      </c>
      <c r="D90" s="5">
        <v>40651</v>
      </c>
      <c r="E90" s="5" t="s">
        <v>3</v>
      </c>
      <c r="F90" s="6">
        <v>42828</v>
      </c>
      <c r="G90" s="5" t="s">
        <v>101</v>
      </c>
      <c r="H90" s="5" t="s">
        <v>118</v>
      </c>
      <c r="I90" s="5" t="s">
        <v>119</v>
      </c>
      <c r="J90" s="5" t="s">
        <v>0</v>
      </c>
      <c r="K90" s="5" t="s">
        <v>1</v>
      </c>
      <c r="L90" s="5" t="s">
        <v>2</v>
      </c>
      <c r="M90" s="5" t="s">
        <v>915</v>
      </c>
      <c r="N90" s="5" t="s">
        <v>318</v>
      </c>
      <c r="O90" s="5" t="s">
        <v>140</v>
      </c>
      <c r="P90" s="5" t="s">
        <v>9</v>
      </c>
      <c r="XFD90"/>
    </row>
    <row r="91" spans="1:16 16384:16384" s="5" customFormat="1">
      <c r="A91" s="5" t="s">
        <v>911</v>
      </c>
      <c r="B91" s="5" t="s">
        <v>1423</v>
      </c>
      <c r="C91" s="5" t="s">
        <v>1197</v>
      </c>
      <c r="D91" s="5">
        <v>40655</v>
      </c>
      <c r="E91" s="5" t="s">
        <v>65</v>
      </c>
      <c r="F91" s="6">
        <v>42843</v>
      </c>
      <c r="G91" s="5" t="s">
        <v>219</v>
      </c>
      <c r="H91" s="5" t="s">
        <v>109</v>
      </c>
      <c r="I91" s="5" t="s">
        <v>110</v>
      </c>
      <c r="J91" s="5" t="s">
        <v>0</v>
      </c>
      <c r="K91" s="5" t="s">
        <v>1</v>
      </c>
      <c r="L91" s="5" t="s">
        <v>2</v>
      </c>
      <c r="M91" s="5" t="s">
        <v>915</v>
      </c>
      <c r="N91" s="5" t="s">
        <v>319</v>
      </c>
      <c r="O91" s="5" t="s">
        <v>140</v>
      </c>
      <c r="P91" s="5" t="s">
        <v>9</v>
      </c>
      <c r="XFD91"/>
    </row>
    <row r="92" spans="1:16 16384:16384" s="5" customFormat="1">
      <c r="A92" s="5" t="s">
        <v>911</v>
      </c>
      <c r="B92" s="5" t="s">
        <v>1424</v>
      </c>
      <c r="C92" s="5" t="s">
        <v>1197</v>
      </c>
      <c r="D92" s="5">
        <v>40660</v>
      </c>
      <c r="E92" s="5" t="s">
        <v>65</v>
      </c>
      <c r="F92" s="6">
        <v>42828</v>
      </c>
      <c r="G92" s="5" t="s">
        <v>320</v>
      </c>
      <c r="H92" s="5" t="s">
        <v>109</v>
      </c>
      <c r="I92" s="5" t="s">
        <v>110</v>
      </c>
      <c r="J92" s="5" t="s">
        <v>0</v>
      </c>
      <c r="K92" s="5" t="s">
        <v>1</v>
      </c>
      <c r="L92" s="5" t="s">
        <v>2</v>
      </c>
      <c r="M92" s="5" t="s">
        <v>915</v>
      </c>
      <c r="N92" s="5" t="s">
        <v>321</v>
      </c>
      <c r="O92" s="5" t="s">
        <v>140</v>
      </c>
      <c r="P92" s="5" t="s">
        <v>9</v>
      </c>
      <c r="XFD92"/>
    </row>
    <row r="93" spans="1:16 16384:16384" s="5" customFormat="1">
      <c r="A93" s="5" t="s">
        <v>911</v>
      </c>
      <c r="B93" s="5" t="s">
        <v>1425</v>
      </c>
      <c r="C93" s="5" t="s">
        <v>1197</v>
      </c>
      <c r="D93" s="5">
        <v>40662</v>
      </c>
      <c r="E93" s="5" t="s">
        <v>3</v>
      </c>
      <c r="F93" s="6">
        <v>42828</v>
      </c>
      <c r="G93" s="5" t="s">
        <v>138</v>
      </c>
      <c r="H93" s="5" t="s">
        <v>118</v>
      </c>
      <c r="I93" s="5" t="s">
        <v>119</v>
      </c>
      <c r="J93" s="5" t="s">
        <v>0</v>
      </c>
      <c r="K93" s="5" t="s">
        <v>1</v>
      </c>
      <c r="L93" s="5" t="s">
        <v>2</v>
      </c>
      <c r="M93" s="5" t="s">
        <v>915</v>
      </c>
      <c r="N93" s="5" t="s">
        <v>322</v>
      </c>
      <c r="O93" s="5" t="s">
        <v>140</v>
      </c>
      <c r="P93" s="5" t="s">
        <v>9</v>
      </c>
      <c r="XFD93"/>
    </row>
    <row r="94" spans="1:16 16384:16384" s="5" customFormat="1">
      <c r="A94" s="5" t="s">
        <v>911</v>
      </c>
      <c r="B94" s="5" t="s">
        <v>1426</v>
      </c>
      <c r="C94" s="5" t="s">
        <v>1197</v>
      </c>
      <c r="D94" s="5">
        <v>40665</v>
      </c>
      <c r="E94" s="5" t="s">
        <v>65</v>
      </c>
      <c r="F94" s="6">
        <v>42828</v>
      </c>
      <c r="G94" s="5" t="s">
        <v>323</v>
      </c>
      <c r="H94" s="5" t="s">
        <v>109</v>
      </c>
      <c r="I94" s="5" t="s">
        <v>110</v>
      </c>
      <c r="J94" s="5" t="s">
        <v>0</v>
      </c>
      <c r="K94" s="5" t="s">
        <v>1</v>
      </c>
      <c r="L94" s="5" t="s">
        <v>2</v>
      </c>
      <c r="M94" s="5" t="s">
        <v>915</v>
      </c>
      <c r="N94" s="5" t="s">
        <v>324</v>
      </c>
      <c r="O94" s="5" t="s">
        <v>140</v>
      </c>
      <c r="P94" s="5" t="s">
        <v>9</v>
      </c>
      <c r="XFD94"/>
    </row>
    <row r="95" spans="1:16 16384:16384" s="5" customFormat="1">
      <c r="A95" s="5" t="s">
        <v>911</v>
      </c>
      <c r="B95" s="5" t="s">
        <v>1427</v>
      </c>
      <c r="C95" s="5" t="s">
        <v>1197</v>
      </c>
      <c r="D95" s="5">
        <v>40678</v>
      </c>
      <c r="E95" s="5" t="s">
        <v>3</v>
      </c>
      <c r="F95" s="6">
        <v>42828</v>
      </c>
      <c r="G95" s="5" t="s">
        <v>325</v>
      </c>
      <c r="H95" s="5" t="s">
        <v>118</v>
      </c>
      <c r="I95" s="5" t="s">
        <v>119</v>
      </c>
      <c r="J95" s="5" t="s">
        <v>0</v>
      </c>
      <c r="K95" s="5" t="s">
        <v>1</v>
      </c>
      <c r="L95" s="5" t="s">
        <v>2</v>
      </c>
      <c r="M95" s="5" t="s">
        <v>915</v>
      </c>
      <c r="N95" s="5" t="s">
        <v>326</v>
      </c>
      <c r="O95" s="5" t="s">
        <v>140</v>
      </c>
      <c r="P95" s="5" t="s">
        <v>9</v>
      </c>
      <c r="XFD95"/>
    </row>
    <row r="96" spans="1:16 16384:16384" s="5" customFormat="1">
      <c r="A96" s="5" t="s">
        <v>911</v>
      </c>
      <c r="B96" s="5" t="s">
        <v>1428</v>
      </c>
      <c r="C96" s="5" t="s">
        <v>1197</v>
      </c>
      <c r="D96" s="5">
        <v>40686</v>
      </c>
      <c r="E96" s="5" t="s">
        <v>212</v>
      </c>
      <c r="F96" s="6">
        <v>42843</v>
      </c>
      <c r="G96" s="5" t="s">
        <v>260</v>
      </c>
      <c r="H96" s="5" t="s">
        <v>109</v>
      </c>
      <c r="I96" s="5" t="s">
        <v>110</v>
      </c>
      <c r="J96" s="5" t="s">
        <v>0</v>
      </c>
      <c r="K96" s="5" t="s">
        <v>1</v>
      </c>
      <c r="L96" s="5" t="s">
        <v>2</v>
      </c>
      <c r="M96" s="5" t="s">
        <v>915</v>
      </c>
      <c r="N96" s="5" t="s">
        <v>327</v>
      </c>
      <c r="O96" s="5" t="s">
        <v>140</v>
      </c>
      <c r="P96" s="5" t="s">
        <v>9</v>
      </c>
      <c r="XFD96"/>
    </row>
    <row r="97" spans="1:16 16384:16384" s="5" customFormat="1">
      <c r="A97" s="5" t="s">
        <v>911</v>
      </c>
      <c r="B97" s="5" t="s">
        <v>1429</v>
      </c>
      <c r="C97" s="5" t="s">
        <v>1197</v>
      </c>
      <c r="D97" s="5">
        <v>40687</v>
      </c>
      <c r="E97" s="5" t="s">
        <v>65</v>
      </c>
      <c r="F97" s="6">
        <v>42843</v>
      </c>
      <c r="G97" s="5" t="s">
        <v>219</v>
      </c>
      <c r="H97" s="5" t="s">
        <v>109</v>
      </c>
      <c r="I97" s="5" t="s">
        <v>110</v>
      </c>
      <c r="J97" s="5" t="s">
        <v>0</v>
      </c>
      <c r="K97" s="5" t="s">
        <v>1</v>
      </c>
      <c r="L97" s="5" t="s">
        <v>2</v>
      </c>
      <c r="M97" s="5" t="s">
        <v>915</v>
      </c>
      <c r="N97" s="5" t="s">
        <v>328</v>
      </c>
      <c r="O97" s="5" t="s">
        <v>140</v>
      </c>
      <c r="P97" s="5" t="s">
        <v>9</v>
      </c>
      <c r="XFD97"/>
    </row>
    <row r="98" spans="1:16 16384:16384" s="5" customFormat="1">
      <c r="A98" s="5" t="s">
        <v>911</v>
      </c>
      <c r="B98" s="5" t="s">
        <v>1430</v>
      </c>
      <c r="C98" s="5" t="s">
        <v>1197</v>
      </c>
      <c r="D98" s="5">
        <v>40692</v>
      </c>
      <c r="E98" s="5" t="s">
        <v>65</v>
      </c>
      <c r="F98" s="6">
        <v>42843</v>
      </c>
      <c r="G98" s="5" t="s">
        <v>219</v>
      </c>
      <c r="H98" s="5" t="s">
        <v>109</v>
      </c>
      <c r="I98" s="5" t="s">
        <v>110</v>
      </c>
      <c r="J98" s="5" t="s">
        <v>0</v>
      </c>
      <c r="K98" s="5" t="s">
        <v>1</v>
      </c>
      <c r="L98" s="5" t="s">
        <v>2</v>
      </c>
      <c r="M98" s="5" t="s">
        <v>915</v>
      </c>
      <c r="N98" s="5" t="s">
        <v>329</v>
      </c>
      <c r="O98" s="5" t="s">
        <v>140</v>
      </c>
      <c r="P98" s="5" t="s">
        <v>9</v>
      </c>
      <c r="XFD98"/>
    </row>
    <row r="99" spans="1:16 16384:16384" s="5" customFormat="1">
      <c r="A99" s="5" t="s">
        <v>911</v>
      </c>
      <c r="B99" s="5" t="s">
        <v>1431</v>
      </c>
      <c r="C99" s="5" t="s">
        <v>1197</v>
      </c>
      <c r="D99" s="5">
        <v>40697</v>
      </c>
      <c r="E99" s="5" t="s">
        <v>65</v>
      </c>
      <c r="F99" s="6">
        <v>42828</v>
      </c>
      <c r="G99" s="5" t="s">
        <v>330</v>
      </c>
      <c r="H99" s="5" t="s">
        <v>109</v>
      </c>
      <c r="I99" s="5" t="s">
        <v>110</v>
      </c>
      <c r="J99" s="5" t="s">
        <v>0</v>
      </c>
      <c r="K99" s="5" t="s">
        <v>1</v>
      </c>
      <c r="L99" s="5" t="s">
        <v>2</v>
      </c>
      <c r="M99" s="5" t="s">
        <v>915</v>
      </c>
      <c r="N99" s="5" t="s">
        <v>331</v>
      </c>
      <c r="O99" s="5" t="s">
        <v>140</v>
      </c>
      <c r="P99" s="5" t="s">
        <v>9</v>
      </c>
      <c r="XFD99"/>
    </row>
    <row r="100" spans="1:16 16384:16384" s="5" customFormat="1">
      <c r="A100" s="5" t="s">
        <v>911</v>
      </c>
      <c r="B100" s="5" t="s">
        <v>1432</v>
      </c>
      <c r="C100" s="5" t="s">
        <v>1197</v>
      </c>
      <c r="D100" s="5">
        <v>40698</v>
      </c>
      <c r="E100" s="5" t="s">
        <v>212</v>
      </c>
      <c r="F100" s="6">
        <v>42843</v>
      </c>
      <c r="G100" s="5" t="s">
        <v>260</v>
      </c>
      <c r="H100" s="5" t="s">
        <v>109</v>
      </c>
      <c r="I100" s="5" t="s">
        <v>110</v>
      </c>
      <c r="J100" s="5" t="s">
        <v>0</v>
      </c>
      <c r="K100" s="5" t="s">
        <v>1</v>
      </c>
      <c r="L100" s="5" t="s">
        <v>2</v>
      </c>
      <c r="M100" s="5" t="s">
        <v>915</v>
      </c>
      <c r="N100" s="5" t="s">
        <v>332</v>
      </c>
      <c r="O100" s="5" t="s">
        <v>140</v>
      </c>
      <c r="P100" s="5" t="s">
        <v>9</v>
      </c>
      <c r="XFD100"/>
    </row>
    <row r="101" spans="1:16 16384:16384" s="5" customFormat="1">
      <c r="A101" s="5" t="s">
        <v>911</v>
      </c>
      <c r="B101" s="5" t="s">
        <v>1433</v>
      </c>
      <c r="C101" s="5" t="s">
        <v>1197</v>
      </c>
      <c r="D101" s="5">
        <v>40702</v>
      </c>
      <c r="E101" s="5" t="s">
        <v>65</v>
      </c>
      <c r="F101" s="6">
        <v>42828</v>
      </c>
      <c r="G101" s="5" t="s">
        <v>333</v>
      </c>
      <c r="H101" s="5" t="s">
        <v>109</v>
      </c>
      <c r="I101" s="5" t="s">
        <v>110</v>
      </c>
      <c r="J101" s="5" t="s">
        <v>0</v>
      </c>
      <c r="K101" s="5" t="s">
        <v>1</v>
      </c>
      <c r="L101" s="5" t="s">
        <v>2</v>
      </c>
      <c r="M101" s="5" t="s">
        <v>915</v>
      </c>
      <c r="N101" s="5" t="s">
        <v>334</v>
      </c>
      <c r="O101" s="5" t="s">
        <v>140</v>
      </c>
      <c r="P101" s="5" t="s">
        <v>9</v>
      </c>
      <c r="XFD101"/>
    </row>
    <row r="102" spans="1:16 16384:16384" s="5" customFormat="1">
      <c r="A102" s="5" t="s">
        <v>911</v>
      </c>
      <c r="B102" s="5" t="s">
        <v>1434</v>
      </c>
      <c r="C102" s="5" t="s">
        <v>1197</v>
      </c>
      <c r="D102" s="5">
        <v>40706</v>
      </c>
      <c r="E102" s="5" t="s">
        <v>3</v>
      </c>
      <c r="F102" s="6">
        <v>42828</v>
      </c>
      <c r="G102" s="5" t="s">
        <v>101</v>
      </c>
      <c r="H102" s="5" t="s">
        <v>118</v>
      </c>
      <c r="I102" s="5" t="s">
        <v>119</v>
      </c>
      <c r="J102" s="5" t="s">
        <v>0</v>
      </c>
      <c r="K102" s="5" t="s">
        <v>1</v>
      </c>
      <c r="L102" s="5" t="s">
        <v>2</v>
      </c>
      <c r="M102" s="5" t="s">
        <v>915</v>
      </c>
      <c r="N102" s="5" t="s">
        <v>335</v>
      </c>
      <c r="O102" s="5" t="s">
        <v>140</v>
      </c>
      <c r="P102" s="5" t="s">
        <v>9</v>
      </c>
      <c r="XFD102"/>
    </row>
    <row r="103" spans="1:16 16384:16384" s="5" customFormat="1">
      <c r="A103" s="5" t="s">
        <v>911</v>
      </c>
      <c r="B103" s="5" t="s">
        <v>1435</v>
      </c>
      <c r="C103" s="5" t="s">
        <v>1197</v>
      </c>
      <c r="D103" s="5">
        <v>40708</v>
      </c>
      <c r="E103" s="5" t="s">
        <v>65</v>
      </c>
      <c r="F103" s="6">
        <v>42843</v>
      </c>
      <c r="G103" s="5" t="s">
        <v>219</v>
      </c>
      <c r="H103" s="5" t="s">
        <v>109</v>
      </c>
      <c r="I103" s="5" t="s">
        <v>110</v>
      </c>
      <c r="J103" s="5" t="s">
        <v>0</v>
      </c>
      <c r="K103" s="5" t="s">
        <v>1</v>
      </c>
      <c r="L103" s="5" t="s">
        <v>2</v>
      </c>
      <c r="M103" s="5" t="s">
        <v>915</v>
      </c>
      <c r="N103" s="5" t="s">
        <v>336</v>
      </c>
      <c r="O103" s="5" t="s">
        <v>140</v>
      </c>
      <c r="P103" s="5" t="s">
        <v>9</v>
      </c>
      <c r="XFD103"/>
    </row>
    <row r="104" spans="1:16 16384:16384" s="5" customFormat="1">
      <c r="A104" s="5" t="s">
        <v>911</v>
      </c>
      <c r="B104" s="5" t="s">
        <v>1436</v>
      </c>
      <c r="C104" s="5" t="s">
        <v>1197</v>
      </c>
      <c r="D104" s="5">
        <v>40713</v>
      </c>
      <c r="E104" s="5" t="s">
        <v>65</v>
      </c>
      <c r="F104" s="6">
        <v>42843</v>
      </c>
      <c r="G104" s="5" t="s">
        <v>219</v>
      </c>
      <c r="H104" s="5" t="s">
        <v>109</v>
      </c>
      <c r="I104" s="5" t="s">
        <v>110</v>
      </c>
      <c r="J104" s="5" t="s">
        <v>0</v>
      </c>
      <c r="K104" s="5" t="s">
        <v>1</v>
      </c>
      <c r="L104" s="5" t="s">
        <v>2</v>
      </c>
      <c r="M104" s="5" t="s">
        <v>915</v>
      </c>
      <c r="N104" s="5" t="s">
        <v>337</v>
      </c>
      <c r="O104" s="5" t="s">
        <v>140</v>
      </c>
      <c r="P104" s="5" t="s">
        <v>9</v>
      </c>
      <c r="XFD104"/>
    </row>
    <row r="105" spans="1:16 16384:16384" s="5" customFormat="1">
      <c r="A105" s="5" t="s">
        <v>911</v>
      </c>
      <c r="B105" s="5" t="s">
        <v>1437</v>
      </c>
      <c r="C105" s="5" t="s">
        <v>1197</v>
      </c>
      <c r="D105" s="5">
        <v>40714</v>
      </c>
      <c r="E105" s="5" t="s">
        <v>65</v>
      </c>
      <c r="F105" s="6">
        <v>42843</v>
      </c>
      <c r="G105" s="5" t="s">
        <v>219</v>
      </c>
      <c r="H105" s="5" t="s">
        <v>109</v>
      </c>
      <c r="I105" s="5" t="s">
        <v>110</v>
      </c>
      <c r="J105" s="5" t="s">
        <v>0</v>
      </c>
      <c r="K105" s="5" t="s">
        <v>1</v>
      </c>
      <c r="L105" s="5" t="s">
        <v>2</v>
      </c>
      <c r="M105" s="5" t="s">
        <v>915</v>
      </c>
      <c r="N105" s="5" t="s">
        <v>338</v>
      </c>
      <c r="O105" s="5" t="s">
        <v>140</v>
      </c>
      <c r="P105" s="5" t="s">
        <v>9</v>
      </c>
      <c r="XFD105"/>
    </row>
    <row r="106" spans="1:16 16384:16384" s="5" customFormat="1">
      <c r="A106" s="5" t="s">
        <v>911</v>
      </c>
      <c r="B106" s="5" t="s">
        <v>1438</v>
      </c>
      <c r="C106" s="5" t="s">
        <v>1197</v>
      </c>
      <c r="D106" s="5">
        <v>40716</v>
      </c>
      <c r="E106" s="5" t="s">
        <v>65</v>
      </c>
      <c r="F106" s="6">
        <v>42828</v>
      </c>
      <c r="G106" s="5" t="s">
        <v>339</v>
      </c>
      <c r="H106" s="5" t="s">
        <v>109</v>
      </c>
      <c r="I106" s="5" t="s">
        <v>110</v>
      </c>
      <c r="J106" s="5" t="s">
        <v>0</v>
      </c>
      <c r="K106" s="5" t="s">
        <v>1</v>
      </c>
      <c r="L106" s="5" t="s">
        <v>2</v>
      </c>
      <c r="M106" s="5" t="s">
        <v>915</v>
      </c>
      <c r="N106" s="5" t="s">
        <v>340</v>
      </c>
      <c r="O106" s="5" t="s">
        <v>140</v>
      </c>
      <c r="P106" s="5" t="s">
        <v>9</v>
      </c>
      <c r="XFD106"/>
    </row>
    <row r="107" spans="1:16 16384:16384" s="5" customFormat="1">
      <c r="A107" s="5" t="s">
        <v>911</v>
      </c>
      <c r="B107" s="5" t="s">
        <v>1439</v>
      </c>
      <c r="C107" s="5" t="s">
        <v>1197</v>
      </c>
      <c r="D107" s="5">
        <v>40747</v>
      </c>
      <c r="E107" s="5" t="s">
        <v>24</v>
      </c>
      <c r="F107" s="6">
        <v>42864</v>
      </c>
      <c r="G107" s="5" t="s">
        <v>341</v>
      </c>
      <c r="H107" s="5" t="s">
        <v>102</v>
      </c>
      <c r="I107" s="5" t="s">
        <v>103</v>
      </c>
      <c r="J107" s="5" t="s">
        <v>0</v>
      </c>
      <c r="K107" s="5" t="s">
        <v>1</v>
      </c>
      <c r="L107" s="5" t="s">
        <v>2</v>
      </c>
      <c r="M107" s="5" t="s">
        <v>915</v>
      </c>
      <c r="N107" s="5" t="s">
        <v>342</v>
      </c>
      <c r="O107" s="5" t="s">
        <v>153</v>
      </c>
      <c r="P107" s="5" t="s">
        <v>9</v>
      </c>
      <c r="XFD107"/>
    </row>
    <row r="108" spans="1:16 16384:16384" s="5" customFormat="1">
      <c r="A108" s="5" t="s">
        <v>911</v>
      </c>
      <c r="B108" s="5" t="s">
        <v>1440</v>
      </c>
      <c r="C108" s="5" t="s">
        <v>1197</v>
      </c>
      <c r="D108" s="5">
        <v>40754</v>
      </c>
      <c r="E108" s="5" t="s">
        <v>65</v>
      </c>
      <c r="F108" s="6">
        <v>42864</v>
      </c>
      <c r="G108" s="5" t="s">
        <v>343</v>
      </c>
      <c r="H108" s="5" t="s">
        <v>109</v>
      </c>
      <c r="I108" s="5" t="s">
        <v>110</v>
      </c>
      <c r="J108" s="5" t="s">
        <v>0</v>
      </c>
      <c r="K108" s="5" t="s">
        <v>1</v>
      </c>
      <c r="L108" s="5" t="s">
        <v>2</v>
      </c>
      <c r="M108" s="5" t="s">
        <v>915</v>
      </c>
      <c r="N108" s="5" t="s">
        <v>344</v>
      </c>
      <c r="O108" s="5" t="s">
        <v>153</v>
      </c>
      <c r="P108" s="5" t="s">
        <v>9</v>
      </c>
      <c r="XFD108"/>
    </row>
    <row r="109" spans="1:16 16384:16384" s="5" customFormat="1">
      <c r="A109" s="5" t="s">
        <v>911</v>
      </c>
      <c r="B109" s="5" t="s">
        <v>1441</v>
      </c>
      <c r="C109" s="5" t="s">
        <v>1197</v>
      </c>
      <c r="D109" s="5">
        <v>40756</v>
      </c>
      <c r="E109" s="5" t="s">
        <v>65</v>
      </c>
      <c r="F109" s="6">
        <v>42864</v>
      </c>
      <c r="G109" s="5" t="s">
        <v>345</v>
      </c>
      <c r="H109" s="5" t="s">
        <v>109</v>
      </c>
      <c r="I109" s="5" t="s">
        <v>110</v>
      </c>
      <c r="J109" s="5" t="s">
        <v>0</v>
      </c>
      <c r="K109" s="5" t="s">
        <v>1</v>
      </c>
      <c r="L109" s="5" t="s">
        <v>2</v>
      </c>
      <c r="M109" s="5" t="s">
        <v>915</v>
      </c>
      <c r="N109" s="5" t="s">
        <v>346</v>
      </c>
      <c r="O109" s="5" t="s">
        <v>153</v>
      </c>
      <c r="P109" s="5" t="s">
        <v>9</v>
      </c>
      <c r="XFD109"/>
    </row>
    <row r="110" spans="1:16 16384:16384" s="5" customFormat="1">
      <c r="A110" s="5" t="s">
        <v>911</v>
      </c>
      <c r="B110" s="5" t="s">
        <v>1442</v>
      </c>
      <c r="C110" s="5" t="s">
        <v>1197</v>
      </c>
      <c r="D110" s="5">
        <v>40758</v>
      </c>
      <c r="E110" s="5" t="s">
        <v>65</v>
      </c>
      <c r="F110" s="6">
        <v>42864</v>
      </c>
      <c r="G110" s="5" t="s">
        <v>343</v>
      </c>
      <c r="H110" s="5" t="s">
        <v>109</v>
      </c>
      <c r="I110" s="5" t="s">
        <v>110</v>
      </c>
      <c r="J110" s="5" t="s">
        <v>0</v>
      </c>
      <c r="K110" s="5" t="s">
        <v>1</v>
      </c>
      <c r="L110" s="5" t="s">
        <v>2</v>
      </c>
      <c r="M110" s="5" t="s">
        <v>915</v>
      </c>
      <c r="N110" s="5" t="s">
        <v>347</v>
      </c>
      <c r="O110" s="5" t="s">
        <v>153</v>
      </c>
      <c r="P110" s="5" t="s">
        <v>9</v>
      </c>
      <c r="XFD110"/>
    </row>
    <row r="111" spans="1:16 16384:16384" s="5" customFormat="1">
      <c r="A111" s="5" t="s">
        <v>911</v>
      </c>
      <c r="B111" s="5" t="s">
        <v>1443</v>
      </c>
      <c r="C111" s="5" t="s">
        <v>1197</v>
      </c>
      <c r="D111" s="5">
        <v>40760</v>
      </c>
      <c r="E111" s="5" t="s">
        <v>65</v>
      </c>
      <c r="F111" s="6">
        <v>42864</v>
      </c>
      <c r="G111" s="5" t="s">
        <v>343</v>
      </c>
      <c r="H111" s="5" t="s">
        <v>109</v>
      </c>
      <c r="I111" s="5" t="s">
        <v>110</v>
      </c>
      <c r="J111" s="5" t="s">
        <v>0</v>
      </c>
      <c r="K111" s="5" t="s">
        <v>1</v>
      </c>
      <c r="L111" s="5" t="s">
        <v>2</v>
      </c>
      <c r="M111" s="5" t="s">
        <v>915</v>
      </c>
      <c r="N111" s="5" t="s">
        <v>348</v>
      </c>
      <c r="O111" s="5" t="s">
        <v>153</v>
      </c>
      <c r="P111" s="5" t="s">
        <v>9</v>
      </c>
      <c r="XFD111"/>
    </row>
    <row r="112" spans="1:16 16384:16384" s="5" customFormat="1">
      <c r="A112" s="5" t="s">
        <v>911</v>
      </c>
      <c r="B112" s="5" t="s">
        <v>1444</v>
      </c>
      <c r="C112" s="5" t="s">
        <v>1197</v>
      </c>
      <c r="D112" s="5">
        <v>40762</v>
      </c>
      <c r="E112" s="5" t="s">
        <v>65</v>
      </c>
      <c r="F112" s="6">
        <v>42864</v>
      </c>
      <c r="G112" s="5" t="s">
        <v>343</v>
      </c>
      <c r="H112" s="5" t="s">
        <v>109</v>
      </c>
      <c r="I112" s="5" t="s">
        <v>110</v>
      </c>
      <c r="J112" s="5" t="s">
        <v>0</v>
      </c>
      <c r="K112" s="5" t="s">
        <v>1</v>
      </c>
      <c r="L112" s="5" t="s">
        <v>2</v>
      </c>
      <c r="M112" s="5" t="s">
        <v>915</v>
      </c>
      <c r="N112" s="5" t="s">
        <v>349</v>
      </c>
      <c r="O112" s="5" t="s">
        <v>153</v>
      </c>
      <c r="P112" s="5" t="s">
        <v>9</v>
      </c>
      <c r="XFD112"/>
    </row>
    <row r="113" spans="1:16 16384:16384" s="5" customFormat="1">
      <c r="A113" s="5" t="s">
        <v>911</v>
      </c>
      <c r="B113" s="5" t="s">
        <v>1445</v>
      </c>
      <c r="C113" s="5" t="s">
        <v>1197</v>
      </c>
      <c r="D113" s="5">
        <v>40770</v>
      </c>
      <c r="E113" s="5" t="s">
        <v>65</v>
      </c>
      <c r="F113" s="6">
        <v>42864</v>
      </c>
      <c r="G113" s="5" t="s">
        <v>343</v>
      </c>
      <c r="H113" s="5" t="s">
        <v>109</v>
      </c>
      <c r="I113" s="5" t="s">
        <v>110</v>
      </c>
      <c r="J113" s="5" t="s">
        <v>0</v>
      </c>
      <c r="K113" s="5" t="s">
        <v>1</v>
      </c>
      <c r="L113" s="5" t="s">
        <v>2</v>
      </c>
      <c r="M113" s="5" t="s">
        <v>915</v>
      </c>
      <c r="N113" s="5" t="s">
        <v>350</v>
      </c>
      <c r="O113" s="5" t="s">
        <v>105</v>
      </c>
      <c r="P113" s="5" t="s">
        <v>9</v>
      </c>
      <c r="XFD113"/>
    </row>
    <row r="114" spans="1:16 16384:16384" s="5" customFormat="1">
      <c r="A114" s="5" t="s">
        <v>911</v>
      </c>
      <c r="B114" s="5" t="s">
        <v>1446</v>
      </c>
      <c r="C114" s="5" t="s">
        <v>1197</v>
      </c>
      <c r="D114" s="5">
        <v>40779</v>
      </c>
      <c r="E114" s="5" t="s">
        <v>24</v>
      </c>
      <c r="F114" s="6">
        <v>42864</v>
      </c>
      <c r="G114" s="5" t="s">
        <v>351</v>
      </c>
      <c r="H114" s="5" t="s">
        <v>102</v>
      </c>
      <c r="I114" s="5" t="s">
        <v>103</v>
      </c>
      <c r="J114" s="5" t="s">
        <v>0</v>
      </c>
      <c r="K114" s="5" t="s">
        <v>1</v>
      </c>
      <c r="L114" s="5" t="s">
        <v>2</v>
      </c>
      <c r="M114" s="5" t="s">
        <v>915</v>
      </c>
      <c r="N114" s="5" t="s">
        <v>352</v>
      </c>
      <c r="O114" s="5" t="s">
        <v>153</v>
      </c>
      <c r="P114" s="5" t="s">
        <v>9</v>
      </c>
      <c r="XFD114"/>
    </row>
    <row r="115" spans="1:16 16384:16384" s="5" customFormat="1">
      <c r="A115" s="5" t="s">
        <v>911</v>
      </c>
      <c r="B115" s="5" t="s">
        <v>1447</v>
      </c>
      <c r="C115" s="5" t="s">
        <v>1197</v>
      </c>
      <c r="D115" s="5">
        <v>40781</v>
      </c>
      <c r="E115" s="5" t="s">
        <v>3</v>
      </c>
      <c r="F115" s="6">
        <v>42864</v>
      </c>
      <c r="G115" s="5" t="s">
        <v>275</v>
      </c>
      <c r="H115" s="5" t="s">
        <v>102</v>
      </c>
      <c r="I115" s="5" t="s">
        <v>103</v>
      </c>
      <c r="J115" s="5" t="s">
        <v>0</v>
      </c>
      <c r="K115" s="5" t="s">
        <v>1</v>
      </c>
      <c r="L115" s="5" t="s">
        <v>2</v>
      </c>
      <c r="M115" s="5" t="s">
        <v>915</v>
      </c>
      <c r="N115" s="5" t="s">
        <v>353</v>
      </c>
      <c r="O115" s="5" t="s">
        <v>153</v>
      </c>
      <c r="P115" s="5" t="s">
        <v>9</v>
      </c>
      <c r="XFD115"/>
    </row>
    <row r="116" spans="1:16 16384:16384" s="5" customFormat="1">
      <c r="A116" s="5" t="s">
        <v>911</v>
      </c>
      <c r="B116" s="5" t="s">
        <v>1448</v>
      </c>
      <c r="C116" s="5" t="s">
        <v>1197</v>
      </c>
      <c r="D116" s="5">
        <v>40786</v>
      </c>
      <c r="E116" s="5" t="s">
        <v>86</v>
      </c>
      <c r="F116" s="6">
        <v>42864</v>
      </c>
      <c r="G116" s="5" t="s">
        <v>354</v>
      </c>
      <c r="H116" s="5" t="s">
        <v>109</v>
      </c>
      <c r="I116" s="5" t="s">
        <v>110</v>
      </c>
      <c r="J116" s="5" t="s">
        <v>0</v>
      </c>
      <c r="K116" s="5" t="s">
        <v>1</v>
      </c>
      <c r="L116" s="5" t="s">
        <v>2</v>
      </c>
      <c r="M116" s="5" t="s">
        <v>915</v>
      </c>
      <c r="N116" s="5" t="s">
        <v>355</v>
      </c>
      <c r="O116" s="5" t="s">
        <v>105</v>
      </c>
      <c r="P116" s="5" t="s">
        <v>9</v>
      </c>
      <c r="XFD116"/>
    </row>
    <row r="117" spans="1:16 16384:16384" s="5" customFormat="1">
      <c r="A117" s="5" t="s">
        <v>911</v>
      </c>
      <c r="B117" s="5" t="s">
        <v>1449</v>
      </c>
      <c r="C117" s="5" t="s">
        <v>1197</v>
      </c>
      <c r="D117" s="5">
        <v>40787</v>
      </c>
      <c r="E117" s="5" t="s">
        <v>65</v>
      </c>
      <c r="F117" s="6">
        <v>42864</v>
      </c>
      <c r="G117" s="5" t="s">
        <v>343</v>
      </c>
      <c r="H117" s="5" t="s">
        <v>109</v>
      </c>
      <c r="I117" s="5" t="s">
        <v>110</v>
      </c>
      <c r="J117" s="5" t="s">
        <v>0</v>
      </c>
      <c r="K117" s="5" t="s">
        <v>1</v>
      </c>
      <c r="L117" s="5" t="s">
        <v>2</v>
      </c>
      <c r="M117" s="5" t="s">
        <v>915</v>
      </c>
      <c r="N117" s="5" t="s">
        <v>356</v>
      </c>
      <c r="O117" s="5" t="s">
        <v>105</v>
      </c>
      <c r="P117" s="5" t="s">
        <v>9</v>
      </c>
      <c r="XFD117"/>
    </row>
    <row r="118" spans="1:16 16384:16384" s="5" customFormat="1">
      <c r="A118" s="5" t="s">
        <v>911</v>
      </c>
      <c r="B118" s="5" t="s">
        <v>1450</v>
      </c>
      <c r="C118" s="5" t="s">
        <v>1197</v>
      </c>
      <c r="D118" s="5">
        <v>40793</v>
      </c>
      <c r="E118" s="5" t="s">
        <v>65</v>
      </c>
      <c r="F118" s="6">
        <v>42864</v>
      </c>
      <c r="G118" s="5" t="s">
        <v>343</v>
      </c>
      <c r="H118" s="5" t="s">
        <v>109</v>
      </c>
      <c r="I118" s="5" t="s">
        <v>110</v>
      </c>
      <c r="J118" s="5" t="s">
        <v>0</v>
      </c>
      <c r="K118" s="5" t="s">
        <v>1</v>
      </c>
      <c r="L118" s="5" t="s">
        <v>2</v>
      </c>
      <c r="M118" s="5" t="s">
        <v>915</v>
      </c>
      <c r="N118" s="5" t="s">
        <v>357</v>
      </c>
      <c r="O118" s="5" t="s">
        <v>105</v>
      </c>
      <c r="P118" s="5" t="s">
        <v>9</v>
      </c>
      <c r="XFD118"/>
    </row>
    <row r="119" spans="1:16 16384:16384" s="5" customFormat="1">
      <c r="A119" s="5" t="s">
        <v>911</v>
      </c>
      <c r="B119" s="5" t="s">
        <v>1451</v>
      </c>
      <c r="C119" s="5" t="s">
        <v>1197</v>
      </c>
      <c r="D119" s="5">
        <v>40802</v>
      </c>
      <c r="E119" s="5" t="s">
        <v>65</v>
      </c>
      <c r="F119" s="6">
        <v>42864</v>
      </c>
      <c r="G119" s="5" t="s">
        <v>343</v>
      </c>
      <c r="H119" s="5" t="s">
        <v>109</v>
      </c>
      <c r="I119" s="5" t="s">
        <v>110</v>
      </c>
      <c r="J119" s="5" t="s">
        <v>0</v>
      </c>
      <c r="K119" s="5" t="s">
        <v>1</v>
      </c>
      <c r="L119" s="5" t="s">
        <v>2</v>
      </c>
      <c r="M119" s="5" t="s">
        <v>915</v>
      </c>
      <c r="N119" s="5" t="s">
        <v>358</v>
      </c>
      <c r="O119" s="5" t="s">
        <v>105</v>
      </c>
      <c r="P119" s="5" t="s">
        <v>9</v>
      </c>
      <c r="XFD119"/>
    </row>
    <row r="120" spans="1:16 16384:16384" s="5" customFormat="1">
      <c r="A120" s="5" t="s">
        <v>911</v>
      </c>
      <c r="B120" s="5" t="s">
        <v>1452</v>
      </c>
      <c r="C120" s="5" t="s">
        <v>1197</v>
      </c>
      <c r="D120" s="5">
        <v>40808</v>
      </c>
      <c r="E120" s="5" t="s">
        <v>65</v>
      </c>
      <c r="F120" s="6">
        <v>42864</v>
      </c>
      <c r="G120" s="5" t="s">
        <v>343</v>
      </c>
      <c r="H120" s="5" t="s">
        <v>109</v>
      </c>
      <c r="I120" s="5" t="s">
        <v>110</v>
      </c>
      <c r="J120" s="5" t="s">
        <v>0</v>
      </c>
      <c r="K120" s="5" t="s">
        <v>1</v>
      </c>
      <c r="L120" s="5" t="s">
        <v>2</v>
      </c>
      <c r="M120" s="5" t="s">
        <v>915</v>
      </c>
      <c r="N120" s="5" t="s">
        <v>359</v>
      </c>
      <c r="O120" s="5" t="s">
        <v>105</v>
      </c>
      <c r="P120" s="5" t="s">
        <v>9</v>
      </c>
      <c r="XFD120"/>
    </row>
    <row r="121" spans="1:16 16384:16384" s="5" customFormat="1">
      <c r="A121" s="5" t="s">
        <v>911</v>
      </c>
      <c r="B121" s="5" t="s">
        <v>1453</v>
      </c>
      <c r="C121" s="5" t="s">
        <v>1197</v>
      </c>
      <c r="D121" s="5">
        <v>40811</v>
      </c>
      <c r="E121" s="5" t="s">
        <v>65</v>
      </c>
      <c r="F121" s="6">
        <v>42864</v>
      </c>
      <c r="G121" s="5" t="s">
        <v>343</v>
      </c>
      <c r="H121" s="5" t="s">
        <v>109</v>
      </c>
      <c r="I121" s="5" t="s">
        <v>110</v>
      </c>
      <c r="J121" s="5" t="s">
        <v>0</v>
      </c>
      <c r="K121" s="5" t="s">
        <v>1</v>
      </c>
      <c r="L121" s="5" t="s">
        <v>2</v>
      </c>
      <c r="M121" s="5" t="s">
        <v>915</v>
      </c>
      <c r="N121" s="5" t="s">
        <v>360</v>
      </c>
      <c r="O121" s="5" t="s">
        <v>105</v>
      </c>
      <c r="P121" s="5" t="s">
        <v>9</v>
      </c>
      <c r="XFD121"/>
    </row>
    <row r="122" spans="1:16 16384:16384" s="5" customFormat="1">
      <c r="A122" s="5" t="s">
        <v>911</v>
      </c>
      <c r="B122" s="5" t="s">
        <v>1454</v>
      </c>
      <c r="C122" s="5" t="s">
        <v>1197</v>
      </c>
      <c r="D122" s="5">
        <v>40813</v>
      </c>
      <c r="E122" s="5" t="s">
        <v>24</v>
      </c>
      <c r="F122" s="6">
        <v>42864</v>
      </c>
      <c r="G122" s="5" t="s">
        <v>361</v>
      </c>
      <c r="H122" s="5" t="s">
        <v>102</v>
      </c>
      <c r="I122" s="5" t="s">
        <v>103</v>
      </c>
      <c r="J122" s="5" t="s">
        <v>0</v>
      </c>
      <c r="K122" s="5" t="s">
        <v>1</v>
      </c>
      <c r="L122" s="5" t="s">
        <v>2</v>
      </c>
      <c r="M122" s="5" t="s">
        <v>915</v>
      </c>
      <c r="N122" s="5" t="s">
        <v>362</v>
      </c>
      <c r="O122" s="5" t="s">
        <v>105</v>
      </c>
      <c r="P122" s="5" t="s">
        <v>9</v>
      </c>
      <c r="XFD122"/>
    </row>
    <row r="123" spans="1:16 16384:16384" s="5" customFormat="1">
      <c r="A123" s="5" t="s">
        <v>911</v>
      </c>
      <c r="B123" s="5" t="s">
        <v>1455</v>
      </c>
      <c r="C123" s="5" t="s">
        <v>1197</v>
      </c>
      <c r="D123" s="5">
        <v>40816</v>
      </c>
      <c r="E123" s="5" t="s">
        <v>65</v>
      </c>
      <c r="F123" s="6">
        <v>42864</v>
      </c>
      <c r="G123" s="5" t="s">
        <v>343</v>
      </c>
      <c r="H123" s="5" t="s">
        <v>109</v>
      </c>
      <c r="I123" s="5" t="s">
        <v>110</v>
      </c>
      <c r="J123" s="5" t="s">
        <v>0</v>
      </c>
      <c r="K123" s="5" t="s">
        <v>1</v>
      </c>
      <c r="L123" s="5" t="s">
        <v>2</v>
      </c>
      <c r="M123" s="5" t="s">
        <v>915</v>
      </c>
      <c r="N123" s="5" t="s">
        <v>363</v>
      </c>
      <c r="O123" s="5" t="s">
        <v>105</v>
      </c>
      <c r="P123" s="5" t="s">
        <v>9</v>
      </c>
      <c r="XFD123"/>
    </row>
    <row r="124" spans="1:16 16384:16384" s="5" customFormat="1">
      <c r="A124" s="5" t="s">
        <v>911</v>
      </c>
      <c r="B124" s="5" t="s">
        <v>1456</v>
      </c>
      <c r="C124" s="5" t="s">
        <v>1197</v>
      </c>
      <c r="D124" s="5">
        <v>40824</v>
      </c>
      <c r="E124" s="5" t="s">
        <v>212</v>
      </c>
      <c r="F124" s="6">
        <v>42864</v>
      </c>
      <c r="G124" s="5" t="s">
        <v>364</v>
      </c>
      <c r="H124" s="5" t="s">
        <v>109</v>
      </c>
      <c r="I124" s="5" t="s">
        <v>110</v>
      </c>
      <c r="J124" s="5" t="s">
        <v>0</v>
      </c>
      <c r="K124" s="5" t="s">
        <v>1</v>
      </c>
      <c r="L124" s="5" t="s">
        <v>2</v>
      </c>
      <c r="M124" s="5" t="s">
        <v>915</v>
      </c>
      <c r="N124" s="5" t="s">
        <v>365</v>
      </c>
      <c r="O124" s="5" t="s">
        <v>105</v>
      </c>
      <c r="P124" s="5" t="s">
        <v>9</v>
      </c>
      <c r="XFD124"/>
    </row>
    <row r="125" spans="1:16 16384:16384" s="5" customFormat="1">
      <c r="A125" s="5" t="s">
        <v>911</v>
      </c>
      <c r="B125" s="5" t="s">
        <v>1457</v>
      </c>
      <c r="C125" s="5" t="s">
        <v>1197</v>
      </c>
      <c r="D125" s="5">
        <v>40825</v>
      </c>
      <c r="E125" s="5" t="s">
        <v>65</v>
      </c>
      <c r="F125" s="6">
        <v>42864</v>
      </c>
      <c r="G125" s="5" t="s">
        <v>343</v>
      </c>
      <c r="H125" s="5" t="s">
        <v>109</v>
      </c>
      <c r="I125" s="5" t="s">
        <v>110</v>
      </c>
      <c r="J125" s="5" t="s">
        <v>0</v>
      </c>
      <c r="K125" s="5" t="s">
        <v>1</v>
      </c>
      <c r="L125" s="5" t="s">
        <v>2</v>
      </c>
      <c r="M125" s="5" t="s">
        <v>915</v>
      </c>
      <c r="N125" s="5" t="s">
        <v>366</v>
      </c>
      <c r="O125" s="5" t="s">
        <v>105</v>
      </c>
      <c r="P125" s="5" t="s">
        <v>9</v>
      </c>
      <c r="XFD125"/>
    </row>
    <row r="126" spans="1:16 16384:16384" s="5" customFormat="1">
      <c r="A126" s="5" t="s">
        <v>911</v>
      </c>
      <c r="B126" s="5" t="s">
        <v>1458</v>
      </c>
      <c r="C126" s="5" t="s">
        <v>1197</v>
      </c>
      <c r="D126" s="5">
        <v>40826</v>
      </c>
      <c r="E126" s="5" t="s">
        <v>65</v>
      </c>
      <c r="F126" s="6">
        <v>42864</v>
      </c>
      <c r="G126" s="5" t="s">
        <v>367</v>
      </c>
      <c r="H126" s="5" t="s">
        <v>109</v>
      </c>
      <c r="I126" s="5" t="s">
        <v>110</v>
      </c>
      <c r="J126" s="5" t="s">
        <v>0</v>
      </c>
      <c r="K126" s="5" t="s">
        <v>1</v>
      </c>
      <c r="L126" s="5" t="s">
        <v>2</v>
      </c>
      <c r="M126" s="5" t="s">
        <v>915</v>
      </c>
      <c r="N126" s="5" t="s">
        <v>368</v>
      </c>
      <c r="O126" s="5" t="s">
        <v>105</v>
      </c>
      <c r="P126" s="5" t="s">
        <v>9</v>
      </c>
      <c r="XFD126"/>
    </row>
    <row r="127" spans="1:16 16384:16384" s="5" customFormat="1">
      <c r="A127" s="5" t="s">
        <v>911</v>
      </c>
      <c r="B127" s="5" t="s">
        <v>1459</v>
      </c>
      <c r="C127" s="5" t="s">
        <v>1197</v>
      </c>
      <c r="D127" s="5">
        <v>40827</v>
      </c>
      <c r="E127" s="5" t="s">
        <v>65</v>
      </c>
      <c r="F127" s="6">
        <v>42864</v>
      </c>
      <c r="G127" s="5" t="s">
        <v>343</v>
      </c>
      <c r="H127" s="5" t="s">
        <v>109</v>
      </c>
      <c r="I127" s="5" t="s">
        <v>110</v>
      </c>
      <c r="J127" s="5" t="s">
        <v>0</v>
      </c>
      <c r="K127" s="5" t="s">
        <v>1</v>
      </c>
      <c r="L127" s="5" t="s">
        <v>2</v>
      </c>
      <c r="M127" s="5" t="s">
        <v>915</v>
      </c>
      <c r="N127" s="5" t="s">
        <v>369</v>
      </c>
      <c r="O127" s="5" t="s">
        <v>105</v>
      </c>
      <c r="P127" s="5" t="s">
        <v>9</v>
      </c>
      <c r="XFD127"/>
    </row>
    <row r="128" spans="1:16 16384:16384" s="5" customFormat="1">
      <c r="A128" s="5" t="s">
        <v>911</v>
      </c>
      <c r="B128" s="5" t="s">
        <v>1460</v>
      </c>
      <c r="C128" s="5" t="s">
        <v>1197</v>
      </c>
      <c r="D128" s="5">
        <v>40832</v>
      </c>
      <c r="E128" s="5" t="s">
        <v>65</v>
      </c>
      <c r="F128" s="6">
        <v>42864</v>
      </c>
      <c r="G128" s="5" t="s">
        <v>343</v>
      </c>
      <c r="H128" s="5" t="s">
        <v>109</v>
      </c>
      <c r="I128" s="5" t="s">
        <v>110</v>
      </c>
      <c r="J128" s="5" t="s">
        <v>0</v>
      </c>
      <c r="K128" s="5" t="s">
        <v>1</v>
      </c>
      <c r="L128" s="5" t="s">
        <v>2</v>
      </c>
      <c r="M128" s="5" t="s">
        <v>915</v>
      </c>
      <c r="N128" s="5" t="s">
        <v>370</v>
      </c>
      <c r="O128" s="5" t="s">
        <v>105</v>
      </c>
      <c r="P128" s="5" t="s">
        <v>9</v>
      </c>
      <c r="XFD128"/>
    </row>
    <row r="129" spans="1:16 16384:16384" s="5" customFormat="1">
      <c r="A129" s="5" t="s">
        <v>911</v>
      </c>
      <c r="B129" s="5" t="s">
        <v>1461</v>
      </c>
      <c r="C129" s="5" t="s">
        <v>1197</v>
      </c>
      <c r="D129" s="5">
        <v>40843</v>
      </c>
      <c r="E129" s="5" t="s">
        <v>65</v>
      </c>
      <c r="F129" s="6">
        <v>42864</v>
      </c>
      <c r="G129" s="5" t="s">
        <v>371</v>
      </c>
      <c r="H129" s="5" t="s">
        <v>109</v>
      </c>
      <c r="I129" s="5" t="s">
        <v>110</v>
      </c>
      <c r="J129" s="5" t="s">
        <v>0</v>
      </c>
      <c r="K129" s="5" t="s">
        <v>1</v>
      </c>
      <c r="L129" s="5" t="s">
        <v>2</v>
      </c>
      <c r="M129" s="5" t="s">
        <v>915</v>
      </c>
      <c r="N129" s="5" t="s">
        <v>372</v>
      </c>
      <c r="O129" s="5" t="s">
        <v>105</v>
      </c>
      <c r="P129" s="5" t="s">
        <v>9</v>
      </c>
      <c r="XFD129"/>
    </row>
    <row r="130" spans="1:16 16384:16384" s="5" customFormat="1">
      <c r="A130" s="5" t="s">
        <v>911</v>
      </c>
      <c r="B130" s="5" t="s">
        <v>1462</v>
      </c>
      <c r="C130" s="5" t="s">
        <v>1197</v>
      </c>
      <c r="D130" s="5">
        <v>40846</v>
      </c>
      <c r="E130" s="5" t="s">
        <v>65</v>
      </c>
      <c r="F130" s="6">
        <v>42864</v>
      </c>
      <c r="G130" s="5" t="s">
        <v>343</v>
      </c>
      <c r="H130" s="5" t="s">
        <v>109</v>
      </c>
      <c r="I130" s="5" t="s">
        <v>110</v>
      </c>
      <c r="J130" s="5" t="s">
        <v>0</v>
      </c>
      <c r="K130" s="5" t="s">
        <v>1</v>
      </c>
      <c r="L130" s="5" t="s">
        <v>2</v>
      </c>
      <c r="M130" s="5" t="s">
        <v>915</v>
      </c>
      <c r="N130" s="5" t="s">
        <v>373</v>
      </c>
      <c r="O130" s="5" t="s">
        <v>105</v>
      </c>
      <c r="P130" s="5" t="s">
        <v>9</v>
      </c>
      <c r="XFD130"/>
    </row>
    <row r="131" spans="1:16 16384:16384" s="5" customFormat="1">
      <c r="A131" s="5" t="s">
        <v>911</v>
      </c>
      <c r="B131" s="5" t="s">
        <v>1463</v>
      </c>
      <c r="C131" s="5" t="s">
        <v>1197</v>
      </c>
      <c r="D131" s="5">
        <v>41447</v>
      </c>
      <c r="E131" s="5" t="s">
        <v>65</v>
      </c>
      <c r="F131" s="6">
        <v>42843</v>
      </c>
      <c r="G131" s="5" t="s">
        <v>219</v>
      </c>
      <c r="H131" s="5" t="s">
        <v>109</v>
      </c>
      <c r="I131" s="5" t="s">
        <v>110</v>
      </c>
      <c r="J131" s="5" t="s">
        <v>0</v>
      </c>
      <c r="K131" s="5" t="s">
        <v>1</v>
      </c>
      <c r="L131" s="5" t="s">
        <v>2</v>
      </c>
      <c r="M131" s="5" t="s">
        <v>915</v>
      </c>
      <c r="N131" s="5" t="s">
        <v>374</v>
      </c>
      <c r="O131" s="5" t="s">
        <v>165</v>
      </c>
      <c r="P131" s="5" t="s">
        <v>9</v>
      </c>
      <c r="XFD131"/>
    </row>
    <row r="132" spans="1:16 16384:16384" s="5" customFormat="1">
      <c r="A132" s="5" t="s">
        <v>911</v>
      </c>
      <c r="B132" s="5" t="s">
        <v>1464</v>
      </c>
      <c r="C132" s="5" t="s">
        <v>1197</v>
      </c>
      <c r="D132" s="5">
        <v>41449</v>
      </c>
      <c r="E132" s="5" t="s">
        <v>65</v>
      </c>
      <c r="F132" s="6">
        <v>42828</v>
      </c>
      <c r="G132" s="5" t="s">
        <v>375</v>
      </c>
      <c r="H132" s="5" t="s">
        <v>109</v>
      </c>
      <c r="I132" s="5" t="s">
        <v>110</v>
      </c>
      <c r="J132" s="5" t="s">
        <v>0</v>
      </c>
      <c r="K132" s="5" t="s">
        <v>1</v>
      </c>
      <c r="L132" s="5" t="s">
        <v>2</v>
      </c>
      <c r="M132" s="5" t="s">
        <v>915</v>
      </c>
      <c r="N132" s="5" t="s">
        <v>376</v>
      </c>
      <c r="O132" s="5" t="s">
        <v>116</v>
      </c>
      <c r="P132" s="5" t="s">
        <v>9</v>
      </c>
      <c r="XFD132"/>
    </row>
    <row r="133" spans="1:16 16384:16384" s="5" customFormat="1">
      <c r="A133" s="5" t="s">
        <v>911</v>
      </c>
      <c r="B133" s="5" t="s">
        <v>1465</v>
      </c>
      <c r="C133" s="5" t="s">
        <v>1197</v>
      </c>
      <c r="D133" s="5">
        <v>44586</v>
      </c>
      <c r="E133" s="5" t="s">
        <v>65</v>
      </c>
      <c r="F133" s="6">
        <v>42864</v>
      </c>
      <c r="G133" s="5" t="s">
        <v>343</v>
      </c>
      <c r="H133" s="5" t="s">
        <v>109</v>
      </c>
      <c r="I133" s="5" t="s">
        <v>110</v>
      </c>
      <c r="J133" s="5" t="s">
        <v>0</v>
      </c>
      <c r="K133" s="5" t="s">
        <v>1</v>
      </c>
      <c r="L133" s="5" t="s">
        <v>2</v>
      </c>
      <c r="M133" s="5" t="s">
        <v>915</v>
      </c>
      <c r="N133" s="5" t="s">
        <v>492</v>
      </c>
      <c r="O133" s="5" t="s">
        <v>153</v>
      </c>
      <c r="P133" s="5" t="s">
        <v>9</v>
      </c>
      <c r="XFD133"/>
    </row>
    <row r="134" spans="1:16 16384:16384" s="5" customFormat="1">
      <c r="A134" s="5" t="s">
        <v>911</v>
      </c>
      <c r="B134" s="5" t="s">
        <v>1466</v>
      </c>
      <c r="C134" s="5" t="s">
        <v>1197</v>
      </c>
      <c r="D134" s="5">
        <v>44588</v>
      </c>
      <c r="E134" s="5" t="s">
        <v>24</v>
      </c>
      <c r="F134" s="6">
        <v>42864</v>
      </c>
      <c r="G134" s="5" t="s">
        <v>493</v>
      </c>
      <c r="H134" s="5" t="s">
        <v>102</v>
      </c>
      <c r="I134" s="5" t="s">
        <v>103</v>
      </c>
      <c r="J134" s="5" t="s">
        <v>0</v>
      </c>
      <c r="K134" s="5" t="s">
        <v>1</v>
      </c>
      <c r="L134" s="5" t="s">
        <v>2</v>
      </c>
      <c r="M134" s="5" t="s">
        <v>915</v>
      </c>
      <c r="N134" s="5" t="s">
        <v>494</v>
      </c>
      <c r="O134" s="5" t="s">
        <v>153</v>
      </c>
      <c r="P134" s="5" t="s">
        <v>9</v>
      </c>
      <c r="XFD134"/>
    </row>
    <row r="135" spans="1:16 16384:16384" s="5" customFormat="1">
      <c r="A135" s="5" t="s">
        <v>911</v>
      </c>
      <c r="B135" s="5" t="s">
        <v>1467</v>
      </c>
      <c r="C135" s="5" t="s">
        <v>1197</v>
      </c>
      <c r="D135" s="5">
        <v>44589</v>
      </c>
      <c r="E135" s="5" t="s">
        <v>65</v>
      </c>
      <c r="F135" s="6">
        <v>42864</v>
      </c>
      <c r="G135" s="5" t="s">
        <v>343</v>
      </c>
      <c r="H135" s="5" t="s">
        <v>109</v>
      </c>
      <c r="I135" s="5" t="s">
        <v>110</v>
      </c>
      <c r="J135" s="5" t="s">
        <v>0</v>
      </c>
      <c r="K135" s="5" t="s">
        <v>1</v>
      </c>
      <c r="L135" s="5" t="s">
        <v>2</v>
      </c>
      <c r="M135" s="5" t="s">
        <v>915</v>
      </c>
      <c r="N135" s="5" t="s">
        <v>495</v>
      </c>
      <c r="O135" s="5" t="s">
        <v>153</v>
      </c>
      <c r="P135" s="5" t="s">
        <v>9</v>
      </c>
      <c r="XFD135"/>
    </row>
    <row r="136" spans="1:16 16384:16384" s="5" customFormat="1">
      <c r="A136" s="5" t="s">
        <v>911</v>
      </c>
      <c r="B136" s="5" t="s">
        <v>1468</v>
      </c>
      <c r="C136" s="5" t="s">
        <v>1197</v>
      </c>
      <c r="D136" s="5">
        <v>44590</v>
      </c>
      <c r="E136" s="5" t="s">
        <v>65</v>
      </c>
      <c r="F136" s="6">
        <v>42864</v>
      </c>
      <c r="G136" s="5" t="s">
        <v>343</v>
      </c>
      <c r="H136" s="5" t="s">
        <v>109</v>
      </c>
      <c r="I136" s="5" t="s">
        <v>110</v>
      </c>
      <c r="J136" s="5" t="s">
        <v>0</v>
      </c>
      <c r="K136" s="5" t="s">
        <v>1</v>
      </c>
      <c r="L136" s="5" t="s">
        <v>2</v>
      </c>
      <c r="M136" s="5" t="s">
        <v>915</v>
      </c>
      <c r="N136" s="5" t="s">
        <v>496</v>
      </c>
      <c r="O136" s="5" t="s">
        <v>153</v>
      </c>
      <c r="P136" s="5" t="s">
        <v>9</v>
      </c>
      <c r="XFD136"/>
    </row>
    <row r="137" spans="1:16 16384:16384" s="5" customFormat="1">
      <c r="A137" s="5" t="s">
        <v>911</v>
      </c>
      <c r="B137" s="5" t="s">
        <v>1469</v>
      </c>
      <c r="C137" s="5" t="s">
        <v>1197</v>
      </c>
      <c r="D137" s="5">
        <v>44592</v>
      </c>
      <c r="E137" s="5" t="s">
        <v>65</v>
      </c>
      <c r="F137" s="6">
        <v>42864</v>
      </c>
      <c r="G137" s="5" t="s">
        <v>343</v>
      </c>
      <c r="H137" s="5" t="s">
        <v>109</v>
      </c>
      <c r="I137" s="5" t="s">
        <v>110</v>
      </c>
      <c r="J137" s="5" t="s">
        <v>0</v>
      </c>
      <c r="K137" s="5" t="s">
        <v>1</v>
      </c>
      <c r="L137" s="5" t="s">
        <v>2</v>
      </c>
      <c r="M137" s="5" t="s">
        <v>915</v>
      </c>
      <c r="N137" s="5" t="s">
        <v>497</v>
      </c>
      <c r="O137" s="5" t="s">
        <v>153</v>
      </c>
      <c r="P137" s="5" t="s">
        <v>9</v>
      </c>
      <c r="XFD137"/>
    </row>
    <row r="138" spans="1:16 16384:16384" s="5" customFormat="1">
      <c r="A138" s="5" t="s">
        <v>911</v>
      </c>
      <c r="B138" s="5" t="s">
        <v>1470</v>
      </c>
      <c r="C138" s="5" t="s">
        <v>1197</v>
      </c>
      <c r="D138" s="5">
        <v>44599</v>
      </c>
      <c r="E138" s="5" t="s">
        <v>212</v>
      </c>
      <c r="F138" s="6">
        <v>42828</v>
      </c>
      <c r="G138" s="5" t="s">
        <v>498</v>
      </c>
      <c r="H138" s="5" t="s">
        <v>109</v>
      </c>
      <c r="I138" s="5" t="s">
        <v>110</v>
      </c>
      <c r="J138" s="5" t="s">
        <v>0</v>
      </c>
      <c r="K138" s="5" t="s">
        <v>1</v>
      </c>
      <c r="L138" s="5" t="s">
        <v>2</v>
      </c>
      <c r="M138" s="5" t="s">
        <v>915</v>
      </c>
      <c r="N138" s="5" t="s">
        <v>499</v>
      </c>
      <c r="O138" s="5" t="s">
        <v>143</v>
      </c>
      <c r="P138" s="5" t="s">
        <v>9</v>
      </c>
      <c r="XFD138"/>
    </row>
    <row r="139" spans="1:16 16384:16384" s="5" customFormat="1">
      <c r="A139" s="5" t="s">
        <v>911</v>
      </c>
      <c r="B139" s="5" t="s">
        <v>1471</v>
      </c>
      <c r="C139" s="5" t="s">
        <v>1197</v>
      </c>
      <c r="D139" s="5">
        <v>44608</v>
      </c>
      <c r="E139" s="5" t="s">
        <v>212</v>
      </c>
      <c r="F139" s="6">
        <v>42843</v>
      </c>
      <c r="G139" s="5" t="s">
        <v>260</v>
      </c>
      <c r="H139" s="5" t="s">
        <v>109</v>
      </c>
      <c r="I139" s="5" t="s">
        <v>110</v>
      </c>
      <c r="J139" s="5" t="s">
        <v>0</v>
      </c>
      <c r="K139" s="5" t="s">
        <v>1</v>
      </c>
      <c r="L139" s="5" t="s">
        <v>2</v>
      </c>
      <c r="M139" s="5" t="s">
        <v>915</v>
      </c>
      <c r="N139" s="5" t="s">
        <v>500</v>
      </c>
      <c r="O139" s="5" t="s">
        <v>143</v>
      </c>
      <c r="P139" s="5" t="s">
        <v>9</v>
      </c>
      <c r="XFD139"/>
    </row>
    <row r="140" spans="1:16 16384:16384" s="5" customFormat="1">
      <c r="A140" s="5" t="s">
        <v>911</v>
      </c>
      <c r="B140" s="5" t="s">
        <v>1472</v>
      </c>
      <c r="C140" s="5" t="s">
        <v>1197</v>
      </c>
      <c r="D140" s="5">
        <v>44623</v>
      </c>
      <c r="E140" s="5" t="s">
        <v>65</v>
      </c>
      <c r="F140" s="6">
        <v>42843</v>
      </c>
      <c r="G140" s="5" t="s">
        <v>219</v>
      </c>
      <c r="H140" s="5" t="s">
        <v>109</v>
      </c>
      <c r="I140" s="5" t="s">
        <v>110</v>
      </c>
      <c r="J140" s="5" t="s">
        <v>0</v>
      </c>
      <c r="K140" s="5" t="s">
        <v>1</v>
      </c>
      <c r="L140" s="5" t="s">
        <v>2</v>
      </c>
      <c r="M140" s="5" t="s">
        <v>915</v>
      </c>
      <c r="N140" s="5" t="s">
        <v>501</v>
      </c>
      <c r="O140" s="5" t="s">
        <v>158</v>
      </c>
      <c r="P140" s="5" t="s">
        <v>9</v>
      </c>
      <c r="XFD140"/>
    </row>
    <row r="141" spans="1:16 16384:16384" s="5" customFormat="1">
      <c r="A141" s="5" t="s">
        <v>911</v>
      </c>
      <c r="B141" s="5" t="s">
        <v>1473</v>
      </c>
      <c r="C141" s="5" t="s">
        <v>1197</v>
      </c>
      <c r="D141" s="5">
        <v>44788</v>
      </c>
      <c r="E141" s="5" t="s">
        <v>65</v>
      </c>
      <c r="F141" s="6">
        <v>42843</v>
      </c>
      <c r="G141" s="5" t="s">
        <v>219</v>
      </c>
      <c r="H141" s="5" t="s">
        <v>109</v>
      </c>
      <c r="I141" s="5" t="s">
        <v>110</v>
      </c>
      <c r="J141" s="5" t="s">
        <v>0</v>
      </c>
      <c r="K141" s="5" t="s">
        <v>1</v>
      </c>
      <c r="L141" s="5" t="s">
        <v>2</v>
      </c>
      <c r="M141" s="5" t="s">
        <v>915</v>
      </c>
      <c r="N141" s="5" t="s">
        <v>504</v>
      </c>
      <c r="O141" s="5" t="s">
        <v>165</v>
      </c>
      <c r="P141" s="5" t="s">
        <v>9</v>
      </c>
      <c r="XFD141"/>
    </row>
    <row r="142" spans="1:16 16384:16384" s="5" customFormat="1">
      <c r="A142" s="5" t="s">
        <v>911</v>
      </c>
      <c r="B142" s="5" t="s">
        <v>1474</v>
      </c>
      <c r="C142" s="5" t="s">
        <v>1197</v>
      </c>
      <c r="D142" s="5">
        <v>44825</v>
      </c>
      <c r="E142" s="5" t="s">
        <v>65</v>
      </c>
      <c r="F142" s="6">
        <v>42843</v>
      </c>
      <c r="G142" s="5" t="s">
        <v>219</v>
      </c>
      <c r="H142" s="5" t="s">
        <v>109</v>
      </c>
      <c r="I142" s="5" t="s">
        <v>110</v>
      </c>
      <c r="J142" s="5" t="s">
        <v>0</v>
      </c>
      <c r="K142" s="5" t="s">
        <v>1</v>
      </c>
      <c r="L142" s="5" t="s">
        <v>2</v>
      </c>
      <c r="M142" s="5" t="s">
        <v>915</v>
      </c>
      <c r="N142" s="5" t="s">
        <v>505</v>
      </c>
      <c r="O142" s="5" t="s">
        <v>165</v>
      </c>
      <c r="P142" s="5" t="s">
        <v>9</v>
      </c>
      <c r="XFD142"/>
    </row>
    <row r="143" spans="1:16 16384:16384" s="5" customFormat="1">
      <c r="A143" s="5" t="s">
        <v>911</v>
      </c>
      <c r="B143" s="5" t="s">
        <v>1475</v>
      </c>
      <c r="C143" s="5" t="s">
        <v>1197</v>
      </c>
      <c r="D143" s="5">
        <v>44826</v>
      </c>
      <c r="E143" s="5" t="s">
        <v>212</v>
      </c>
      <c r="F143" s="6">
        <v>42843</v>
      </c>
      <c r="G143" s="5" t="s">
        <v>260</v>
      </c>
      <c r="H143" s="5" t="s">
        <v>109</v>
      </c>
      <c r="I143" s="5" t="s">
        <v>110</v>
      </c>
      <c r="J143" s="5" t="s">
        <v>0</v>
      </c>
      <c r="K143" s="5" t="s">
        <v>1</v>
      </c>
      <c r="L143" s="5" t="s">
        <v>2</v>
      </c>
      <c r="M143" s="5" t="s">
        <v>915</v>
      </c>
      <c r="N143" s="5" t="s">
        <v>506</v>
      </c>
      <c r="O143" s="5" t="s">
        <v>165</v>
      </c>
      <c r="P143" s="5" t="s">
        <v>9</v>
      </c>
      <c r="XFD143"/>
    </row>
    <row r="144" spans="1:16 16384:16384" s="5" customFormat="1">
      <c r="A144" s="5" t="s">
        <v>911</v>
      </c>
      <c r="B144" s="5" t="s">
        <v>1476</v>
      </c>
      <c r="C144" s="5" t="s">
        <v>1197</v>
      </c>
      <c r="D144" s="5">
        <v>44827</v>
      </c>
      <c r="E144" s="5" t="s">
        <v>65</v>
      </c>
      <c r="F144" s="6">
        <v>42843</v>
      </c>
      <c r="G144" s="5" t="s">
        <v>219</v>
      </c>
      <c r="H144" s="5" t="s">
        <v>109</v>
      </c>
      <c r="I144" s="5" t="s">
        <v>110</v>
      </c>
      <c r="J144" s="5" t="s">
        <v>0</v>
      </c>
      <c r="K144" s="5" t="s">
        <v>1</v>
      </c>
      <c r="L144" s="5" t="s">
        <v>2</v>
      </c>
      <c r="M144" s="5" t="s">
        <v>915</v>
      </c>
      <c r="N144" s="5" t="s">
        <v>507</v>
      </c>
      <c r="O144" s="5" t="s">
        <v>165</v>
      </c>
      <c r="P144" s="5" t="s">
        <v>9</v>
      </c>
      <c r="XFD144"/>
    </row>
    <row r="145" spans="1:16 16384:16384" s="5" customFormat="1">
      <c r="A145" s="5" t="s">
        <v>911</v>
      </c>
      <c r="B145" s="5" t="s">
        <v>1477</v>
      </c>
      <c r="C145" s="5" t="s">
        <v>1197</v>
      </c>
      <c r="D145" s="5">
        <v>44833</v>
      </c>
      <c r="E145" s="5" t="s">
        <v>212</v>
      </c>
      <c r="F145" s="6">
        <v>42828</v>
      </c>
      <c r="G145" s="5" t="s">
        <v>508</v>
      </c>
      <c r="H145" s="5" t="s">
        <v>109</v>
      </c>
      <c r="I145" s="5" t="s">
        <v>110</v>
      </c>
      <c r="J145" s="5" t="s">
        <v>0</v>
      </c>
      <c r="K145" s="5" t="s">
        <v>1</v>
      </c>
      <c r="L145" s="5" t="s">
        <v>2</v>
      </c>
      <c r="M145" s="5" t="s">
        <v>915</v>
      </c>
      <c r="N145" s="5" t="s">
        <v>509</v>
      </c>
      <c r="O145" s="5" t="s">
        <v>165</v>
      </c>
      <c r="P145" s="5" t="s">
        <v>9</v>
      </c>
      <c r="XFD145"/>
    </row>
    <row r="146" spans="1:16 16384:16384" s="5" customFormat="1">
      <c r="A146" s="5" t="s">
        <v>911</v>
      </c>
      <c r="B146" s="5" t="s">
        <v>1478</v>
      </c>
      <c r="C146" s="5" t="s">
        <v>1197</v>
      </c>
      <c r="D146" s="5">
        <v>44834</v>
      </c>
      <c r="E146" s="5" t="s">
        <v>65</v>
      </c>
      <c r="F146" s="6">
        <v>42828</v>
      </c>
      <c r="G146" s="5" t="s">
        <v>510</v>
      </c>
      <c r="H146" s="5" t="s">
        <v>109</v>
      </c>
      <c r="I146" s="5" t="s">
        <v>110</v>
      </c>
      <c r="J146" s="5" t="s">
        <v>0</v>
      </c>
      <c r="K146" s="5" t="s">
        <v>1</v>
      </c>
      <c r="L146" s="5" t="s">
        <v>2</v>
      </c>
      <c r="M146" s="5" t="s">
        <v>915</v>
      </c>
      <c r="N146" s="5" t="s">
        <v>511</v>
      </c>
      <c r="O146" s="5" t="s">
        <v>165</v>
      </c>
      <c r="P146" s="5" t="s">
        <v>9</v>
      </c>
      <c r="XFD146"/>
    </row>
    <row r="147" spans="1:16 16384:16384" s="5" customFormat="1">
      <c r="A147" s="5" t="s">
        <v>911</v>
      </c>
      <c r="B147" s="5" t="s">
        <v>1479</v>
      </c>
      <c r="C147" s="5" t="s">
        <v>1197</v>
      </c>
      <c r="D147" s="5">
        <v>45119</v>
      </c>
      <c r="E147" s="5" t="s">
        <v>212</v>
      </c>
      <c r="F147" s="6">
        <v>42843</v>
      </c>
      <c r="G147" s="5" t="s">
        <v>260</v>
      </c>
      <c r="H147" s="5" t="s">
        <v>109</v>
      </c>
      <c r="I147" s="5" t="s">
        <v>110</v>
      </c>
      <c r="J147" s="5" t="s">
        <v>0</v>
      </c>
      <c r="K147" s="5" t="s">
        <v>1</v>
      </c>
      <c r="L147" s="5" t="s">
        <v>2</v>
      </c>
      <c r="M147" s="5" t="s">
        <v>915</v>
      </c>
      <c r="N147" s="5" t="s">
        <v>512</v>
      </c>
      <c r="O147" s="5" t="s">
        <v>116</v>
      </c>
      <c r="P147" s="5" t="s">
        <v>9</v>
      </c>
      <c r="XFD147"/>
    </row>
    <row r="148" spans="1:16 16384:16384" s="5" customFormat="1">
      <c r="A148" s="5" t="s">
        <v>911</v>
      </c>
      <c r="B148" s="5" t="s">
        <v>1480</v>
      </c>
      <c r="C148" s="5" t="s">
        <v>1197</v>
      </c>
      <c r="D148" s="5">
        <v>45129</v>
      </c>
      <c r="E148" s="5" t="s">
        <v>65</v>
      </c>
      <c r="F148" s="6">
        <v>42828</v>
      </c>
      <c r="G148" s="5" t="s">
        <v>513</v>
      </c>
      <c r="H148" s="5" t="s">
        <v>109</v>
      </c>
      <c r="I148" s="5" t="s">
        <v>110</v>
      </c>
      <c r="J148" s="5" t="s">
        <v>0</v>
      </c>
      <c r="K148" s="5" t="s">
        <v>1</v>
      </c>
      <c r="L148" s="5" t="s">
        <v>2</v>
      </c>
      <c r="M148" s="5" t="s">
        <v>915</v>
      </c>
      <c r="N148" s="5" t="s">
        <v>514</v>
      </c>
      <c r="O148" s="5" t="s">
        <v>116</v>
      </c>
      <c r="P148" s="5" t="s">
        <v>9</v>
      </c>
      <c r="XFD148"/>
    </row>
    <row r="149" spans="1:16 16384:16384" s="5" customFormat="1">
      <c r="A149" s="5" t="s">
        <v>911</v>
      </c>
      <c r="B149" s="5" t="s">
        <v>1481</v>
      </c>
      <c r="C149" s="5" t="s">
        <v>1197</v>
      </c>
      <c r="D149" s="5">
        <v>45305</v>
      </c>
      <c r="E149" s="5" t="s">
        <v>212</v>
      </c>
      <c r="F149" s="6">
        <v>42828</v>
      </c>
      <c r="G149" s="5" t="s">
        <v>518</v>
      </c>
      <c r="H149" s="5" t="s">
        <v>109</v>
      </c>
      <c r="I149" s="5" t="s">
        <v>110</v>
      </c>
      <c r="J149" s="5" t="s">
        <v>0</v>
      </c>
      <c r="K149" s="5" t="s">
        <v>1</v>
      </c>
      <c r="L149" s="5" t="s">
        <v>2</v>
      </c>
      <c r="M149" s="5" t="s">
        <v>915</v>
      </c>
      <c r="N149" s="5" t="s">
        <v>519</v>
      </c>
      <c r="O149" s="5" t="s">
        <v>131</v>
      </c>
      <c r="P149" s="5" t="s">
        <v>9</v>
      </c>
      <c r="XFD149"/>
    </row>
    <row r="150" spans="1:16 16384:16384" s="5" customFormat="1">
      <c r="A150" s="5" t="s">
        <v>911</v>
      </c>
      <c r="B150" s="5" t="s">
        <v>1482</v>
      </c>
      <c r="C150" s="5" t="s">
        <v>1197</v>
      </c>
      <c r="D150" s="5">
        <v>45343</v>
      </c>
      <c r="E150" s="5" t="s">
        <v>65</v>
      </c>
      <c r="F150" s="6">
        <v>42843</v>
      </c>
      <c r="G150" s="5" t="s">
        <v>219</v>
      </c>
      <c r="H150" s="5" t="s">
        <v>109</v>
      </c>
      <c r="I150" s="5" t="s">
        <v>110</v>
      </c>
      <c r="J150" s="5" t="s">
        <v>0</v>
      </c>
      <c r="K150" s="5" t="s">
        <v>1</v>
      </c>
      <c r="L150" s="5" t="s">
        <v>2</v>
      </c>
      <c r="M150" s="5" t="s">
        <v>915</v>
      </c>
      <c r="N150" s="5" t="s">
        <v>523</v>
      </c>
      <c r="O150" s="5" t="s">
        <v>140</v>
      </c>
      <c r="P150" s="5" t="s">
        <v>9</v>
      </c>
      <c r="XFD150"/>
    </row>
    <row r="151" spans="1:16 16384:16384" s="5" customFormat="1">
      <c r="A151" s="5" t="s">
        <v>911</v>
      </c>
      <c r="B151" s="5" t="s">
        <v>1483</v>
      </c>
      <c r="C151" s="5" t="s">
        <v>1197</v>
      </c>
      <c r="D151" s="5">
        <v>45350</v>
      </c>
      <c r="E151" s="5" t="s">
        <v>65</v>
      </c>
      <c r="F151" s="6">
        <v>42843</v>
      </c>
      <c r="G151" s="5" t="s">
        <v>219</v>
      </c>
      <c r="H151" s="5" t="s">
        <v>109</v>
      </c>
      <c r="I151" s="5" t="s">
        <v>110</v>
      </c>
      <c r="J151" s="5" t="s">
        <v>0</v>
      </c>
      <c r="K151" s="5" t="s">
        <v>1</v>
      </c>
      <c r="L151" s="5" t="s">
        <v>2</v>
      </c>
      <c r="M151" s="5" t="s">
        <v>915</v>
      </c>
      <c r="N151" s="5" t="s">
        <v>524</v>
      </c>
      <c r="O151" s="5" t="s">
        <v>140</v>
      </c>
      <c r="P151" s="5" t="s">
        <v>9</v>
      </c>
      <c r="XFD151"/>
    </row>
    <row r="152" spans="1:16 16384:16384" s="5" customFormat="1">
      <c r="A152" s="5" t="s">
        <v>911</v>
      </c>
      <c r="B152" s="5" t="s">
        <v>1484</v>
      </c>
      <c r="C152" s="5" t="s">
        <v>1197</v>
      </c>
      <c r="D152" s="5">
        <v>45362</v>
      </c>
      <c r="E152" s="5" t="s">
        <v>65</v>
      </c>
      <c r="F152" s="6">
        <v>42843</v>
      </c>
      <c r="G152" s="5" t="s">
        <v>219</v>
      </c>
      <c r="H152" s="5" t="s">
        <v>109</v>
      </c>
      <c r="I152" s="5" t="s">
        <v>110</v>
      </c>
      <c r="J152" s="5" t="s">
        <v>0</v>
      </c>
      <c r="K152" s="5" t="s">
        <v>1</v>
      </c>
      <c r="L152" s="5" t="s">
        <v>2</v>
      </c>
      <c r="M152" s="5" t="s">
        <v>915</v>
      </c>
      <c r="N152" s="5" t="s">
        <v>525</v>
      </c>
      <c r="O152" s="5" t="s">
        <v>140</v>
      </c>
      <c r="P152" s="5" t="s">
        <v>9</v>
      </c>
      <c r="XFD152"/>
    </row>
    <row r="153" spans="1:16 16384:16384" s="5" customFormat="1">
      <c r="A153" s="5" t="s">
        <v>911</v>
      </c>
      <c r="B153" s="5" t="s">
        <v>1485</v>
      </c>
      <c r="C153" s="5" t="s">
        <v>1197</v>
      </c>
      <c r="D153" s="5">
        <v>45364</v>
      </c>
      <c r="E153" s="5" t="s">
        <v>212</v>
      </c>
      <c r="F153" s="6">
        <v>42828</v>
      </c>
      <c r="G153" s="5" t="s">
        <v>526</v>
      </c>
      <c r="H153" s="5" t="s">
        <v>109</v>
      </c>
      <c r="I153" s="5" t="s">
        <v>110</v>
      </c>
      <c r="J153" s="5" t="s">
        <v>0</v>
      </c>
      <c r="K153" s="5" t="s">
        <v>1</v>
      </c>
      <c r="L153" s="5" t="s">
        <v>2</v>
      </c>
      <c r="M153" s="5" t="s">
        <v>915</v>
      </c>
      <c r="N153" s="5" t="s">
        <v>527</v>
      </c>
      <c r="O153" s="5" t="s">
        <v>140</v>
      </c>
      <c r="P153" s="5" t="s">
        <v>9</v>
      </c>
      <c r="XFD153"/>
    </row>
    <row r="154" spans="1:16 16384:16384" s="5" customFormat="1">
      <c r="A154" s="5" t="s">
        <v>911</v>
      </c>
      <c r="B154" s="5" t="s">
        <v>1486</v>
      </c>
      <c r="C154" s="5" t="s">
        <v>1197</v>
      </c>
      <c r="D154" s="5">
        <v>45367</v>
      </c>
      <c r="E154" s="5" t="s">
        <v>212</v>
      </c>
      <c r="F154" s="6">
        <v>42843</v>
      </c>
      <c r="G154" s="5" t="s">
        <v>260</v>
      </c>
      <c r="H154" s="5" t="s">
        <v>109</v>
      </c>
      <c r="I154" s="5" t="s">
        <v>110</v>
      </c>
      <c r="J154" s="5" t="s">
        <v>0</v>
      </c>
      <c r="K154" s="5" t="s">
        <v>1</v>
      </c>
      <c r="L154" s="5" t="s">
        <v>2</v>
      </c>
      <c r="M154" s="5" t="s">
        <v>915</v>
      </c>
      <c r="N154" s="5" t="s">
        <v>528</v>
      </c>
      <c r="O154" s="5" t="s">
        <v>140</v>
      </c>
      <c r="P154" s="5" t="s">
        <v>9</v>
      </c>
      <c r="XFD154"/>
    </row>
    <row r="155" spans="1:16 16384:16384" s="5" customFormat="1">
      <c r="A155" s="5" t="s">
        <v>911</v>
      </c>
      <c r="B155" s="5" t="s">
        <v>1487</v>
      </c>
      <c r="C155" s="5" t="s">
        <v>1197</v>
      </c>
      <c r="D155" s="5">
        <v>45374</v>
      </c>
      <c r="E155" s="5" t="s">
        <v>65</v>
      </c>
      <c r="F155" s="6">
        <v>42843</v>
      </c>
      <c r="G155" s="5" t="s">
        <v>219</v>
      </c>
      <c r="H155" s="5" t="s">
        <v>109</v>
      </c>
      <c r="I155" s="5" t="s">
        <v>110</v>
      </c>
      <c r="J155" s="5" t="s">
        <v>0</v>
      </c>
      <c r="K155" s="5" t="s">
        <v>1</v>
      </c>
      <c r="L155" s="5" t="s">
        <v>2</v>
      </c>
      <c r="M155" s="5" t="s">
        <v>915</v>
      </c>
      <c r="N155" s="5" t="s">
        <v>529</v>
      </c>
      <c r="O155" s="5" t="s">
        <v>140</v>
      </c>
      <c r="P155" s="5" t="s">
        <v>9</v>
      </c>
      <c r="XFD155"/>
    </row>
    <row r="156" spans="1:16 16384:16384" s="5" customFormat="1">
      <c r="A156" s="5" t="s">
        <v>911</v>
      </c>
      <c r="B156" s="5" t="s">
        <v>1488</v>
      </c>
      <c r="C156" s="5" t="s">
        <v>1197</v>
      </c>
      <c r="D156" s="5">
        <v>46223</v>
      </c>
      <c r="E156" s="5" t="s">
        <v>212</v>
      </c>
      <c r="F156" s="6">
        <v>42864</v>
      </c>
      <c r="G156" s="5" t="s">
        <v>530</v>
      </c>
      <c r="H156" s="5" t="s">
        <v>109</v>
      </c>
      <c r="I156" s="5" t="s">
        <v>110</v>
      </c>
      <c r="J156" s="5" t="s">
        <v>0</v>
      </c>
      <c r="K156" s="5" t="s">
        <v>1</v>
      </c>
      <c r="L156" s="5" t="s">
        <v>2</v>
      </c>
      <c r="M156" s="5" t="s">
        <v>915</v>
      </c>
      <c r="N156" s="5" t="s">
        <v>531</v>
      </c>
      <c r="O156" s="5" t="s">
        <v>105</v>
      </c>
      <c r="P156" s="5" t="s">
        <v>9</v>
      </c>
      <c r="XFD156"/>
    </row>
    <row r="157" spans="1:16 16384:16384" s="5" customFormat="1">
      <c r="A157" s="5" t="s">
        <v>911</v>
      </c>
      <c r="B157" s="5" t="s">
        <v>1489</v>
      </c>
      <c r="C157" s="5" t="s">
        <v>1197</v>
      </c>
      <c r="D157" s="5">
        <v>46226</v>
      </c>
      <c r="E157" s="5" t="s">
        <v>65</v>
      </c>
      <c r="F157" s="6">
        <v>42864</v>
      </c>
      <c r="G157" s="5" t="s">
        <v>343</v>
      </c>
      <c r="H157" s="5" t="s">
        <v>109</v>
      </c>
      <c r="I157" s="5" t="s">
        <v>110</v>
      </c>
      <c r="J157" s="5" t="s">
        <v>0</v>
      </c>
      <c r="K157" s="5" t="s">
        <v>1</v>
      </c>
      <c r="L157" s="5" t="s">
        <v>2</v>
      </c>
      <c r="M157" s="5" t="s">
        <v>915</v>
      </c>
      <c r="N157" s="5" t="s">
        <v>532</v>
      </c>
      <c r="O157" s="5" t="s">
        <v>105</v>
      </c>
      <c r="P157" s="5" t="s">
        <v>9</v>
      </c>
      <c r="XFD157"/>
    </row>
    <row r="158" spans="1:16 16384:16384" s="5" customFormat="1">
      <c r="A158" s="5" t="s">
        <v>911</v>
      </c>
      <c r="B158" s="5" t="s">
        <v>1490</v>
      </c>
      <c r="C158" s="5" t="s">
        <v>1197</v>
      </c>
      <c r="D158" s="5">
        <v>46228</v>
      </c>
      <c r="E158" s="5" t="s">
        <v>65</v>
      </c>
      <c r="F158" s="6">
        <v>42864</v>
      </c>
      <c r="G158" s="5" t="s">
        <v>343</v>
      </c>
      <c r="H158" s="5" t="s">
        <v>109</v>
      </c>
      <c r="I158" s="5" t="s">
        <v>110</v>
      </c>
      <c r="J158" s="5" t="s">
        <v>0</v>
      </c>
      <c r="K158" s="5" t="s">
        <v>1</v>
      </c>
      <c r="L158" s="5" t="s">
        <v>2</v>
      </c>
      <c r="M158" s="5" t="s">
        <v>915</v>
      </c>
      <c r="N158" s="5" t="s">
        <v>533</v>
      </c>
      <c r="O158" s="5" t="s">
        <v>105</v>
      </c>
      <c r="P158" s="5" t="s">
        <v>9</v>
      </c>
      <c r="XFD158"/>
    </row>
    <row r="159" spans="1:16 16384:16384" s="5" customFormat="1">
      <c r="A159" s="5" t="s">
        <v>911</v>
      </c>
      <c r="B159" s="5" t="s">
        <v>1491</v>
      </c>
      <c r="C159" s="5" t="s">
        <v>1197</v>
      </c>
      <c r="D159" s="5">
        <v>46235</v>
      </c>
      <c r="E159" s="5" t="s">
        <v>65</v>
      </c>
      <c r="F159" s="6">
        <v>42864</v>
      </c>
      <c r="G159" s="5" t="s">
        <v>343</v>
      </c>
      <c r="H159" s="5" t="s">
        <v>109</v>
      </c>
      <c r="I159" s="5" t="s">
        <v>110</v>
      </c>
      <c r="J159" s="5" t="s">
        <v>0</v>
      </c>
      <c r="K159" s="5" t="s">
        <v>1</v>
      </c>
      <c r="L159" s="5" t="s">
        <v>2</v>
      </c>
      <c r="M159" s="5" t="s">
        <v>915</v>
      </c>
      <c r="N159" s="5" t="s">
        <v>534</v>
      </c>
      <c r="O159" s="5" t="s">
        <v>105</v>
      </c>
      <c r="P159" s="5" t="s">
        <v>9</v>
      </c>
      <c r="XFD159"/>
    </row>
    <row r="160" spans="1:16 16384:16384" s="5" customFormat="1">
      <c r="A160" s="5" t="s">
        <v>911</v>
      </c>
      <c r="B160" s="5" t="s">
        <v>1492</v>
      </c>
      <c r="C160" s="5" t="s">
        <v>1197</v>
      </c>
      <c r="D160" s="5">
        <v>46237</v>
      </c>
      <c r="E160" s="5" t="s">
        <v>65</v>
      </c>
      <c r="F160" s="6">
        <v>42864</v>
      </c>
      <c r="G160" s="5" t="s">
        <v>343</v>
      </c>
      <c r="H160" s="5" t="s">
        <v>109</v>
      </c>
      <c r="I160" s="5" t="s">
        <v>110</v>
      </c>
      <c r="J160" s="5" t="s">
        <v>0</v>
      </c>
      <c r="K160" s="5" t="s">
        <v>1</v>
      </c>
      <c r="L160" s="5" t="s">
        <v>2</v>
      </c>
      <c r="M160" s="5" t="s">
        <v>915</v>
      </c>
      <c r="N160" s="5" t="s">
        <v>535</v>
      </c>
      <c r="O160" s="5" t="s">
        <v>105</v>
      </c>
      <c r="P160" s="5" t="s">
        <v>9</v>
      </c>
      <c r="XFD160"/>
    </row>
    <row r="161" spans="1:16 16384:16384" s="5" customFormat="1">
      <c r="A161" s="5" t="s">
        <v>911</v>
      </c>
      <c r="B161" s="5" t="s">
        <v>1493</v>
      </c>
      <c r="C161" s="5" t="s">
        <v>1197</v>
      </c>
      <c r="D161" s="5">
        <v>46239</v>
      </c>
      <c r="E161" s="5" t="s">
        <v>65</v>
      </c>
      <c r="F161" s="6">
        <v>42864</v>
      </c>
      <c r="G161" s="5" t="s">
        <v>343</v>
      </c>
      <c r="H161" s="5" t="s">
        <v>109</v>
      </c>
      <c r="I161" s="5" t="s">
        <v>110</v>
      </c>
      <c r="J161" s="5" t="s">
        <v>0</v>
      </c>
      <c r="K161" s="5" t="s">
        <v>1</v>
      </c>
      <c r="L161" s="5" t="s">
        <v>2</v>
      </c>
      <c r="M161" s="5" t="s">
        <v>915</v>
      </c>
      <c r="N161" s="5" t="s">
        <v>536</v>
      </c>
      <c r="O161" s="5" t="s">
        <v>105</v>
      </c>
      <c r="P161" s="5" t="s">
        <v>9</v>
      </c>
      <c r="XFD161"/>
    </row>
    <row r="162" spans="1:16 16384:16384" s="5" customFormat="1">
      <c r="A162" s="5" t="s">
        <v>911</v>
      </c>
      <c r="B162" s="5" t="s">
        <v>1494</v>
      </c>
      <c r="C162" s="5" t="s">
        <v>1197</v>
      </c>
      <c r="D162" s="5">
        <v>46242</v>
      </c>
      <c r="E162" s="5" t="s">
        <v>86</v>
      </c>
      <c r="F162" s="6">
        <v>42864</v>
      </c>
      <c r="G162" s="5" t="s">
        <v>537</v>
      </c>
      <c r="H162" s="5" t="s">
        <v>109</v>
      </c>
      <c r="I162" s="5" t="s">
        <v>110</v>
      </c>
      <c r="J162" s="5" t="s">
        <v>0</v>
      </c>
      <c r="K162" s="5" t="s">
        <v>1</v>
      </c>
      <c r="L162" s="5" t="s">
        <v>2</v>
      </c>
      <c r="M162" s="5" t="s">
        <v>915</v>
      </c>
      <c r="N162" s="5" t="s">
        <v>538</v>
      </c>
      <c r="O162" s="5" t="s">
        <v>105</v>
      </c>
      <c r="P162" s="5" t="s">
        <v>9</v>
      </c>
      <c r="XFD162"/>
    </row>
    <row r="163" spans="1:16 16384:16384" s="5" customFormat="1">
      <c r="A163" s="5" t="s">
        <v>911</v>
      </c>
      <c r="B163" s="5" t="s">
        <v>1495</v>
      </c>
      <c r="C163" s="5" t="s">
        <v>1197</v>
      </c>
      <c r="D163" s="5">
        <v>50938</v>
      </c>
      <c r="E163" s="5" t="s">
        <v>212</v>
      </c>
      <c r="F163" s="6">
        <v>42864</v>
      </c>
      <c r="G163" s="5" t="s">
        <v>364</v>
      </c>
      <c r="H163" s="5" t="s">
        <v>109</v>
      </c>
      <c r="I163" s="5" t="s">
        <v>110</v>
      </c>
      <c r="J163" s="5" t="s">
        <v>0</v>
      </c>
      <c r="K163" s="5" t="s">
        <v>1</v>
      </c>
      <c r="L163" s="5" t="s">
        <v>2</v>
      </c>
      <c r="M163" s="5" t="s">
        <v>915</v>
      </c>
      <c r="N163" s="5" t="s">
        <v>549</v>
      </c>
      <c r="O163" s="5" t="s">
        <v>105</v>
      </c>
      <c r="P163" s="5" t="s">
        <v>9</v>
      </c>
      <c r="XFD163"/>
    </row>
    <row r="164" spans="1:16 16384:16384" s="5" customFormat="1">
      <c r="A164" s="5" t="s">
        <v>911</v>
      </c>
      <c r="B164" s="5" t="s">
        <v>1496</v>
      </c>
      <c r="C164" s="5" t="s">
        <v>1197</v>
      </c>
      <c r="D164" s="5">
        <v>94082</v>
      </c>
      <c r="E164" s="5" t="s">
        <v>65</v>
      </c>
      <c r="F164" s="6">
        <v>42864</v>
      </c>
      <c r="G164" s="5" t="s">
        <v>600</v>
      </c>
      <c r="H164" s="5" t="s">
        <v>109</v>
      </c>
      <c r="I164" s="5" t="s">
        <v>110</v>
      </c>
      <c r="J164" s="5" t="s">
        <v>0</v>
      </c>
      <c r="K164" s="5" t="s">
        <v>1</v>
      </c>
      <c r="L164" s="5" t="s">
        <v>2</v>
      </c>
      <c r="M164" s="5" t="s">
        <v>915</v>
      </c>
      <c r="N164" s="5" t="s">
        <v>601</v>
      </c>
      <c r="O164" s="5" t="s">
        <v>153</v>
      </c>
      <c r="P164" s="5" t="s">
        <v>9</v>
      </c>
      <c r="XFD164"/>
    </row>
    <row r="165" spans="1:16 16384:16384" s="5" customFormat="1">
      <c r="A165" s="5" t="s">
        <v>911</v>
      </c>
      <c r="B165" s="5" t="s">
        <v>1497</v>
      </c>
      <c r="C165" s="5" t="s">
        <v>1197</v>
      </c>
      <c r="D165" s="5">
        <v>135112</v>
      </c>
      <c r="E165" s="5" t="s">
        <v>65</v>
      </c>
      <c r="F165" s="6">
        <v>42843</v>
      </c>
      <c r="G165" s="5" t="s">
        <v>219</v>
      </c>
      <c r="H165" s="5" t="s">
        <v>109</v>
      </c>
      <c r="I165" s="5" t="s">
        <v>110</v>
      </c>
      <c r="J165" s="5" t="s">
        <v>0</v>
      </c>
      <c r="K165" s="5" t="s">
        <v>1</v>
      </c>
      <c r="L165" s="5" t="s">
        <v>2</v>
      </c>
      <c r="M165" s="5" t="s">
        <v>915</v>
      </c>
      <c r="N165" s="5" t="s">
        <v>680</v>
      </c>
      <c r="O165" s="5" t="s">
        <v>143</v>
      </c>
      <c r="P165" s="5" t="s">
        <v>9</v>
      </c>
      <c r="XFD165"/>
    </row>
    <row r="166" spans="1:16 16384:16384" s="5" customFormat="1">
      <c r="A166" s="5" t="s">
        <v>911</v>
      </c>
      <c r="B166" s="5" t="s">
        <v>1498</v>
      </c>
      <c r="C166" s="5" t="s">
        <v>1197</v>
      </c>
      <c r="D166" s="5">
        <v>136532</v>
      </c>
      <c r="E166" s="5" t="s">
        <v>65</v>
      </c>
      <c r="F166" s="6">
        <v>42828</v>
      </c>
      <c r="G166" s="5" t="s">
        <v>681</v>
      </c>
      <c r="H166" s="5" t="s">
        <v>109</v>
      </c>
      <c r="I166" s="5" t="s">
        <v>110</v>
      </c>
      <c r="J166" s="5" t="s">
        <v>0</v>
      </c>
      <c r="K166" s="5" t="s">
        <v>1</v>
      </c>
      <c r="L166" s="5" t="s">
        <v>2</v>
      </c>
      <c r="M166" s="5" t="s">
        <v>915</v>
      </c>
      <c r="N166" s="5" t="s">
        <v>682</v>
      </c>
      <c r="O166" s="5" t="s">
        <v>165</v>
      </c>
      <c r="P166" s="5" t="s">
        <v>9</v>
      </c>
      <c r="XFD166"/>
    </row>
    <row r="167" spans="1:16 16384:16384" s="5" customFormat="1">
      <c r="A167" s="5" t="s">
        <v>911</v>
      </c>
      <c r="B167" s="5" t="s">
        <v>1499</v>
      </c>
      <c r="C167" s="5" t="s">
        <v>1197</v>
      </c>
      <c r="D167" s="5">
        <v>138060</v>
      </c>
      <c r="E167" s="5" t="s">
        <v>212</v>
      </c>
      <c r="F167" s="6">
        <v>42828</v>
      </c>
      <c r="G167" s="5" t="s">
        <v>683</v>
      </c>
      <c r="H167" s="5" t="s">
        <v>109</v>
      </c>
      <c r="I167" s="5" t="s">
        <v>110</v>
      </c>
      <c r="J167" s="5" t="s">
        <v>0</v>
      </c>
      <c r="K167" s="5" t="s">
        <v>1</v>
      </c>
      <c r="L167" s="5" t="s">
        <v>2</v>
      </c>
      <c r="M167" s="5" t="s">
        <v>915</v>
      </c>
      <c r="N167" s="5" t="s">
        <v>684</v>
      </c>
      <c r="O167" s="5" t="s">
        <v>116</v>
      </c>
      <c r="P167" s="5" t="s">
        <v>9</v>
      </c>
      <c r="XFD167"/>
    </row>
    <row r="168" spans="1:16 16384:16384" s="5" customFormat="1">
      <c r="A168" s="5" t="s">
        <v>911</v>
      </c>
      <c r="B168" s="5" t="s">
        <v>1500</v>
      </c>
      <c r="C168" s="5" t="s">
        <v>1197</v>
      </c>
      <c r="D168" s="5">
        <v>138061</v>
      </c>
      <c r="E168" s="5" t="s">
        <v>212</v>
      </c>
      <c r="F168" s="6">
        <v>42843</v>
      </c>
      <c r="G168" s="5" t="s">
        <v>260</v>
      </c>
      <c r="H168" s="5" t="s">
        <v>109</v>
      </c>
      <c r="I168" s="5" t="s">
        <v>110</v>
      </c>
      <c r="J168" s="5" t="s">
        <v>0</v>
      </c>
      <c r="K168" s="5" t="s">
        <v>1</v>
      </c>
      <c r="L168" s="5" t="s">
        <v>2</v>
      </c>
      <c r="M168" s="5" t="s">
        <v>915</v>
      </c>
      <c r="N168" s="5" t="s">
        <v>685</v>
      </c>
      <c r="O168" s="5" t="s">
        <v>116</v>
      </c>
      <c r="P168" s="5" t="s">
        <v>9</v>
      </c>
      <c r="XFD168"/>
    </row>
    <row r="169" spans="1:16 16384:16384" s="5" customFormat="1">
      <c r="A169" s="5" t="s">
        <v>911</v>
      </c>
      <c r="B169" s="5" t="s">
        <v>1501</v>
      </c>
      <c r="C169" s="5" t="s">
        <v>1197</v>
      </c>
      <c r="D169" s="5">
        <v>138155</v>
      </c>
      <c r="E169" s="5" t="s">
        <v>212</v>
      </c>
      <c r="F169" s="6">
        <v>42864</v>
      </c>
      <c r="G169" s="5" t="s">
        <v>364</v>
      </c>
      <c r="H169" s="5" t="s">
        <v>109</v>
      </c>
      <c r="I169" s="5" t="s">
        <v>110</v>
      </c>
      <c r="J169" s="5" t="s">
        <v>0</v>
      </c>
      <c r="K169" s="5" t="s">
        <v>1</v>
      </c>
      <c r="L169" s="5" t="s">
        <v>2</v>
      </c>
      <c r="M169" s="5" t="s">
        <v>915</v>
      </c>
      <c r="N169" s="5" t="s">
        <v>686</v>
      </c>
      <c r="O169" s="5" t="s">
        <v>153</v>
      </c>
      <c r="P169" s="5" t="s">
        <v>9</v>
      </c>
      <c r="XFD169"/>
    </row>
    <row r="170" spans="1:16 16384:16384" s="5" customFormat="1">
      <c r="A170" s="5" t="s">
        <v>911</v>
      </c>
      <c r="B170" s="5" t="s">
        <v>1502</v>
      </c>
      <c r="C170" s="5" t="s">
        <v>1197</v>
      </c>
      <c r="D170" s="5">
        <v>138158</v>
      </c>
      <c r="E170" s="5" t="s">
        <v>65</v>
      </c>
      <c r="F170" s="6">
        <v>42864</v>
      </c>
      <c r="G170" s="5" t="s">
        <v>343</v>
      </c>
      <c r="H170" s="5" t="s">
        <v>109</v>
      </c>
      <c r="I170" s="5" t="s">
        <v>110</v>
      </c>
      <c r="J170" s="5" t="s">
        <v>0</v>
      </c>
      <c r="K170" s="5" t="s">
        <v>1</v>
      </c>
      <c r="L170" s="5" t="s">
        <v>2</v>
      </c>
      <c r="M170" s="5" t="s">
        <v>915</v>
      </c>
      <c r="N170" s="5" t="s">
        <v>687</v>
      </c>
      <c r="O170" s="5" t="s">
        <v>105</v>
      </c>
      <c r="P170" s="5" t="s">
        <v>9</v>
      </c>
      <c r="XFD170"/>
    </row>
    <row r="171" spans="1:16 16384:16384" s="5" customFormat="1">
      <c r="A171" s="5" t="s">
        <v>911</v>
      </c>
      <c r="B171" s="5" t="s">
        <v>1503</v>
      </c>
      <c r="C171" s="5" t="s">
        <v>1197</v>
      </c>
      <c r="D171" s="5">
        <v>138161</v>
      </c>
      <c r="E171" s="5" t="s">
        <v>65</v>
      </c>
      <c r="F171" s="6">
        <v>42864</v>
      </c>
      <c r="G171" s="5" t="s">
        <v>343</v>
      </c>
      <c r="H171" s="5" t="s">
        <v>109</v>
      </c>
      <c r="I171" s="5" t="s">
        <v>110</v>
      </c>
      <c r="J171" s="5" t="s">
        <v>0</v>
      </c>
      <c r="K171" s="5" t="s">
        <v>1</v>
      </c>
      <c r="L171" s="5" t="s">
        <v>2</v>
      </c>
      <c r="M171" s="5" t="s">
        <v>915</v>
      </c>
      <c r="N171" s="5" t="s">
        <v>688</v>
      </c>
      <c r="O171" s="5" t="s">
        <v>105</v>
      </c>
      <c r="P171" s="5" t="s">
        <v>9</v>
      </c>
      <c r="XFD171"/>
    </row>
    <row r="172" spans="1:16 16384:16384" s="5" customFormat="1">
      <c r="A172" s="5" t="s">
        <v>911</v>
      </c>
      <c r="B172" s="5" t="s">
        <v>1504</v>
      </c>
      <c r="C172" s="5" t="s">
        <v>1197</v>
      </c>
      <c r="D172" s="5">
        <v>138843</v>
      </c>
      <c r="E172" s="5" t="s">
        <v>65</v>
      </c>
      <c r="F172" s="6">
        <v>42843</v>
      </c>
      <c r="G172" s="5" t="s">
        <v>219</v>
      </c>
      <c r="H172" s="5" t="s">
        <v>109</v>
      </c>
      <c r="I172" s="5" t="s">
        <v>110</v>
      </c>
      <c r="J172" s="5" t="s">
        <v>0</v>
      </c>
      <c r="K172" s="5" t="s">
        <v>1</v>
      </c>
      <c r="L172" s="5" t="s">
        <v>2</v>
      </c>
      <c r="M172" s="5" t="s">
        <v>915</v>
      </c>
      <c r="N172" s="5" t="s">
        <v>696</v>
      </c>
      <c r="O172" s="5" t="s">
        <v>143</v>
      </c>
      <c r="P172" s="5" t="s">
        <v>9</v>
      </c>
      <c r="XFD172"/>
    </row>
    <row r="173" spans="1:16 16384:16384" s="5" customFormat="1">
      <c r="A173" s="5" t="s">
        <v>911</v>
      </c>
      <c r="B173" s="5" t="s">
        <v>1505</v>
      </c>
      <c r="C173" s="5" t="s">
        <v>1197</v>
      </c>
      <c r="D173" s="5">
        <v>139104</v>
      </c>
      <c r="E173" s="5" t="s">
        <v>65</v>
      </c>
      <c r="F173" s="6">
        <v>42843</v>
      </c>
      <c r="G173" s="5" t="s">
        <v>219</v>
      </c>
      <c r="H173" s="5" t="s">
        <v>109</v>
      </c>
      <c r="I173" s="5" t="s">
        <v>110</v>
      </c>
      <c r="J173" s="5" t="s">
        <v>0</v>
      </c>
      <c r="K173" s="5" t="s">
        <v>1</v>
      </c>
      <c r="L173" s="5" t="s">
        <v>2</v>
      </c>
      <c r="M173" s="5" t="s">
        <v>915</v>
      </c>
      <c r="N173" s="5" t="s">
        <v>697</v>
      </c>
      <c r="O173" s="5" t="s">
        <v>93</v>
      </c>
      <c r="P173" s="5" t="s">
        <v>9</v>
      </c>
      <c r="XFD173"/>
    </row>
    <row r="174" spans="1:16 16384:16384" s="5" customFormat="1">
      <c r="A174" s="5" t="s">
        <v>911</v>
      </c>
      <c r="B174" s="5" t="s">
        <v>1506</v>
      </c>
      <c r="C174" s="5" t="s">
        <v>1197</v>
      </c>
      <c r="D174" s="5">
        <v>139108</v>
      </c>
      <c r="E174" s="5" t="s">
        <v>65</v>
      </c>
      <c r="F174" s="6">
        <v>42828</v>
      </c>
      <c r="G174" s="5" t="s">
        <v>698</v>
      </c>
      <c r="H174" s="5" t="s">
        <v>109</v>
      </c>
      <c r="I174" s="5" t="s">
        <v>110</v>
      </c>
      <c r="J174" s="5" t="s">
        <v>0</v>
      </c>
      <c r="K174" s="5" t="s">
        <v>1</v>
      </c>
      <c r="L174" s="5" t="s">
        <v>2</v>
      </c>
      <c r="M174" s="5" t="s">
        <v>915</v>
      </c>
      <c r="N174" s="5" t="s">
        <v>699</v>
      </c>
      <c r="O174" s="5" t="s">
        <v>93</v>
      </c>
      <c r="P174" s="5" t="s">
        <v>9</v>
      </c>
      <c r="XFD174"/>
    </row>
    <row r="175" spans="1:16 16384:16384" s="5" customFormat="1">
      <c r="A175" s="5" t="s">
        <v>911</v>
      </c>
      <c r="B175" s="5" t="s">
        <v>1507</v>
      </c>
      <c r="C175" s="5" t="s">
        <v>1197</v>
      </c>
      <c r="D175" s="5">
        <v>139109</v>
      </c>
      <c r="E175" s="5" t="s">
        <v>65</v>
      </c>
      <c r="F175" s="6">
        <v>42843</v>
      </c>
      <c r="G175" s="5" t="s">
        <v>219</v>
      </c>
      <c r="H175" s="5" t="s">
        <v>109</v>
      </c>
      <c r="I175" s="5" t="s">
        <v>110</v>
      </c>
      <c r="J175" s="5" t="s">
        <v>0</v>
      </c>
      <c r="K175" s="5" t="s">
        <v>1</v>
      </c>
      <c r="L175" s="5" t="s">
        <v>2</v>
      </c>
      <c r="M175" s="5" t="s">
        <v>915</v>
      </c>
      <c r="N175" s="5" t="s">
        <v>700</v>
      </c>
      <c r="O175" s="5" t="s">
        <v>93</v>
      </c>
      <c r="P175" s="5" t="s">
        <v>9</v>
      </c>
      <c r="XFD175"/>
    </row>
    <row r="176" spans="1:16 16384:16384" s="5" customFormat="1">
      <c r="A176" s="5" t="s">
        <v>911</v>
      </c>
      <c r="B176" s="5" t="s">
        <v>1508</v>
      </c>
      <c r="C176" s="5" t="s">
        <v>1197</v>
      </c>
      <c r="D176" s="5">
        <v>139110</v>
      </c>
      <c r="E176" s="5" t="s">
        <v>65</v>
      </c>
      <c r="F176" s="6">
        <v>42843</v>
      </c>
      <c r="G176" s="5" t="s">
        <v>219</v>
      </c>
      <c r="H176" s="5" t="s">
        <v>109</v>
      </c>
      <c r="I176" s="5" t="s">
        <v>110</v>
      </c>
      <c r="J176" s="5" t="s">
        <v>0</v>
      </c>
      <c r="K176" s="5" t="s">
        <v>1</v>
      </c>
      <c r="L176" s="5" t="s">
        <v>2</v>
      </c>
      <c r="M176" s="5" t="s">
        <v>915</v>
      </c>
      <c r="N176" s="5" t="s">
        <v>701</v>
      </c>
      <c r="O176" s="5" t="s">
        <v>93</v>
      </c>
      <c r="P176" s="5" t="s">
        <v>9</v>
      </c>
      <c r="XFD176"/>
    </row>
    <row r="177" spans="1:16 16384:16384" s="5" customFormat="1">
      <c r="A177" s="5" t="s">
        <v>911</v>
      </c>
      <c r="B177" s="5" t="s">
        <v>1509</v>
      </c>
      <c r="C177" s="5" t="s">
        <v>1197</v>
      </c>
      <c r="D177" s="5">
        <v>139228</v>
      </c>
      <c r="E177" s="5" t="s">
        <v>65</v>
      </c>
      <c r="F177" s="6">
        <v>42843</v>
      </c>
      <c r="G177" s="5" t="s">
        <v>219</v>
      </c>
      <c r="H177" s="5" t="s">
        <v>109</v>
      </c>
      <c r="I177" s="5" t="s">
        <v>110</v>
      </c>
      <c r="J177" s="5" t="s">
        <v>0</v>
      </c>
      <c r="K177" s="5" t="s">
        <v>1</v>
      </c>
      <c r="L177" s="5" t="s">
        <v>2</v>
      </c>
      <c r="M177" s="5" t="s">
        <v>915</v>
      </c>
      <c r="N177" s="5" t="s">
        <v>702</v>
      </c>
      <c r="O177" s="5" t="s">
        <v>140</v>
      </c>
      <c r="P177" s="5" t="s">
        <v>9</v>
      </c>
      <c r="XFD177"/>
    </row>
    <row r="178" spans="1:16 16384:16384" s="5" customFormat="1">
      <c r="A178" s="5" t="s">
        <v>911</v>
      </c>
      <c r="B178" s="5" t="s">
        <v>1510</v>
      </c>
      <c r="C178" s="5" t="s">
        <v>1197</v>
      </c>
      <c r="D178" s="5">
        <v>139236</v>
      </c>
      <c r="E178" s="5" t="s">
        <v>212</v>
      </c>
      <c r="F178" s="6">
        <v>42843</v>
      </c>
      <c r="G178" s="5" t="s">
        <v>260</v>
      </c>
      <c r="H178" s="5" t="s">
        <v>109</v>
      </c>
      <c r="I178" s="5" t="s">
        <v>110</v>
      </c>
      <c r="J178" s="5" t="s">
        <v>0</v>
      </c>
      <c r="K178" s="5" t="s">
        <v>1</v>
      </c>
      <c r="L178" s="5" t="s">
        <v>2</v>
      </c>
      <c r="M178" s="5" t="s">
        <v>915</v>
      </c>
      <c r="N178" s="5" t="s">
        <v>703</v>
      </c>
      <c r="O178" s="5" t="s">
        <v>140</v>
      </c>
      <c r="P178" s="5" t="s">
        <v>9</v>
      </c>
      <c r="XFD178"/>
    </row>
    <row r="179" spans="1:16 16384:16384" s="5" customFormat="1">
      <c r="A179" s="5" t="s">
        <v>911</v>
      </c>
      <c r="B179" s="5" t="s">
        <v>1511</v>
      </c>
      <c r="C179" s="5" t="s">
        <v>1197</v>
      </c>
      <c r="D179" s="5">
        <v>162804</v>
      </c>
      <c r="E179" s="5" t="s">
        <v>212</v>
      </c>
      <c r="F179" s="6">
        <v>42828</v>
      </c>
      <c r="G179" s="5" t="s">
        <v>718</v>
      </c>
      <c r="H179" s="5" t="s">
        <v>109</v>
      </c>
      <c r="I179" s="5" t="s">
        <v>110</v>
      </c>
      <c r="J179" s="5" t="s">
        <v>0</v>
      </c>
      <c r="K179" s="5" t="s">
        <v>1</v>
      </c>
      <c r="L179" s="5" t="s">
        <v>2</v>
      </c>
      <c r="M179" s="5" t="s">
        <v>915</v>
      </c>
      <c r="N179" s="5" t="s">
        <v>719</v>
      </c>
      <c r="O179" s="5" t="s">
        <v>165</v>
      </c>
      <c r="P179" s="5" t="s">
        <v>9</v>
      </c>
      <c r="XFD179"/>
    </row>
    <row r="180" spans="1:16 16384:16384" s="5" customFormat="1">
      <c r="A180" s="5" t="s">
        <v>911</v>
      </c>
      <c r="B180" s="5" t="s">
        <v>1512</v>
      </c>
      <c r="C180" s="5" t="s">
        <v>1197</v>
      </c>
      <c r="D180" s="5">
        <v>177672</v>
      </c>
      <c r="E180" s="5" t="s">
        <v>3</v>
      </c>
      <c r="F180" s="6">
        <v>42828</v>
      </c>
      <c r="G180" s="5" t="s">
        <v>735</v>
      </c>
      <c r="H180" s="5" t="s">
        <v>109</v>
      </c>
      <c r="I180" s="5" t="s">
        <v>110</v>
      </c>
      <c r="J180" s="5" t="s">
        <v>0</v>
      </c>
      <c r="K180" s="5" t="s">
        <v>1</v>
      </c>
      <c r="L180" s="5" t="s">
        <v>2</v>
      </c>
      <c r="M180" s="5" t="s">
        <v>915</v>
      </c>
      <c r="N180" s="5" t="s">
        <v>736</v>
      </c>
      <c r="O180" s="5" t="s">
        <v>165</v>
      </c>
      <c r="P180" s="5" t="s">
        <v>9</v>
      </c>
      <c r="XFD180"/>
    </row>
    <row r="181" spans="1:16 16384:16384" s="5" customFormat="1">
      <c r="A181" s="5" t="s">
        <v>911</v>
      </c>
      <c r="B181" s="5" t="s">
        <v>1513</v>
      </c>
      <c r="C181" s="5" t="s">
        <v>1197</v>
      </c>
      <c r="D181" s="5">
        <v>177868</v>
      </c>
      <c r="E181" s="5" t="s">
        <v>3</v>
      </c>
      <c r="F181" s="6">
        <v>42864</v>
      </c>
      <c r="G181" s="5" t="s">
        <v>210</v>
      </c>
      <c r="H181" s="5" t="s">
        <v>102</v>
      </c>
      <c r="I181" s="5" t="s">
        <v>103</v>
      </c>
      <c r="J181" s="5" t="s">
        <v>0</v>
      </c>
      <c r="K181" s="5" t="s">
        <v>1</v>
      </c>
      <c r="L181" s="5" t="s">
        <v>2</v>
      </c>
      <c r="M181" s="5" t="s">
        <v>915</v>
      </c>
      <c r="N181" s="5" t="s">
        <v>747</v>
      </c>
      <c r="O181" s="5" t="s">
        <v>105</v>
      </c>
      <c r="P181" s="5" t="s">
        <v>9</v>
      </c>
      <c r="XFD181"/>
    </row>
    <row r="182" spans="1:16 16384:16384" s="5" customFormat="1">
      <c r="A182" s="5" t="s">
        <v>911</v>
      </c>
      <c r="B182" s="5" t="s">
        <v>1514</v>
      </c>
      <c r="C182" s="5" t="s">
        <v>1197</v>
      </c>
      <c r="D182" s="5">
        <v>177969</v>
      </c>
      <c r="E182" s="5" t="s">
        <v>65</v>
      </c>
      <c r="F182" s="6">
        <v>42864</v>
      </c>
      <c r="G182" s="5" t="s">
        <v>343</v>
      </c>
      <c r="H182" s="5" t="s">
        <v>109</v>
      </c>
      <c r="I182" s="5" t="s">
        <v>110</v>
      </c>
      <c r="J182" s="5" t="s">
        <v>0</v>
      </c>
      <c r="K182" s="5" t="s">
        <v>1</v>
      </c>
      <c r="L182" s="5" t="s">
        <v>2</v>
      </c>
      <c r="M182" s="5" t="s">
        <v>915</v>
      </c>
      <c r="N182" s="5" t="s">
        <v>748</v>
      </c>
      <c r="O182" s="5" t="s">
        <v>105</v>
      </c>
      <c r="P182" s="5" t="s">
        <v>9</v>
      </c>
      <c r="XFD182"/>
    </row>
    <row r="183" spans="1:16 16384:16384" s="5" customFormat="1">
      <c r="A183" s="5" t="s">
        <v>911</v>
      </c>
      <c r="B183" s="5" t="s">
        <v>1515</v>
      </c>
      <c r="C183" s="5" t="s">
        <v>1197</v>
      </c>
      <c r="D183" s="5">
        <v>178109</v>
      </c>
      <c r="E183" s="5" t="s">
        <v>65</v>
      </c>
      <c r="F183" s="6">
        <v>42843</v>
      </c>
      <c r="G183" s="5" t="s">
        <v>219</v>
      </c>
      <c r="H183" s="5" t="s">
        <v>109</v>
      </c>
      <c r="I183" s="5" t="s">
        <v>110</v>
      </c>
      <c r="J183" s="5" t="s">
        <v>0</v>
      </c>
      <c r="K183" s="5" t="s">
        <v>1</v>
      </c>
      <c r="L183" s="5" t="s">
        <v>2</v>
      </c>
      <c r="M183" s="5" t="s">
        <v>915</v>
      </c>
      <c r="N183" s="5" t="s">
        <v>749</v>
      </c>
      <c r="O183" s="5" t="s">
        <v>143</v>
      </c>
      <c r="P183" s="5" t="s">
        <v>9</v>
      </c>
      <c r="XFD183"/>
    </row>
    <row r="184" spans="1:16 16384:16384" s="5" customFormat="1">
      <c r="A184" s="5" t="s">
        <v>911</v>
      </c>
      <c r="B184" s="5" t="s">
        <v>1516</v>
      </c>
      <c r="C184" s="5" t="s">
        <v>1197</v>
      </c>
      <c r="D184" s="5">
        <v>178666</v>
      </c>
      <c r="E184" s="5" t="s">
        <v>65</v>
      </c>
      <c r="F184" s="6">
        <v>42828</v>
      </c>
      <c r="G184" s="5" t="s">
        <v>754</v>
      </c>
      <c r="H184" s="5" t="s">
        <v>109</v>
      </c>
      <c r="I184" s="5" t="s">
        <v>110</v>
      </c>
      <c r="J184" s="5" t="s">
        <v>0</v>
      </c>
      <c r="K184" s="5" t="s">
        <v>1</v>
      </c>
      <c r="L184" s="5" t="s">
        <v>2</v>
      </c>
      <c r="M184" s="5" t="s">
        <v>915</v>
      </c>
      <c r="N184" s="5" t="s">
        <v>755</v>
      </c>
      <c r="O184" s="5" t="s">
        <v>158</v>
      </c>
      <c r="P184" s="5" t="s">
        <v>9</v>
      </c>
      <c r="XFD184"/>
    </row>
    <row r="185" spans="1:16 16384:16384" s="5" customFormat="1">
      <c r="A185" s="5" t="s">
        <v>911</v>
      </c>
      <c r="B185" s="5" t="s">
        <v>1517</v>
      </c>
      <c r="C185" s="5" t="s">
        <v>1197</v>
      </c>
      <c r="D185" s="5">
        <v>180905</v>
      </c>
      <c r="E185" s="5" t="s">
        <v>212</v>
      </c>
      <c r="F185" s="6">
        <v>42864</v>
      </c>
      <c r="G185" s="5" t="s">
        <v>364</v>
      </c>
      <c r="H185" s="5" t="s">
        <v>109</v>
      </c>
      <c r="I185" s="5" t="s">
        <v>110</v>
      </c>
      <c r="J185" s="5" t="s">
        <v>0</v>
      </c>
      <c r="K185" s="5" t="s">
        <v>1</v>
      </c>
      <c r="L185" s="5" t="s">
        <v>2</v>
      </c>
      <c r="M185" s="5" t="s">
        <v>915</v>
      </c>
      <c r="N185" s="5" t="s">
        <v>760</v>
      </c>
      <c r="O185" s="5" t="s">
        <v>105</v>
      </c>
      <c r="P185" s="5" t="s">
        <v>9</v>
      </c>
      <c r="XFD185"/>
    </row>
    <row r="186" spans="1:16 16384:16384" s="5" customFormat="1">
      <c r="A186" s="5" t="s">
        <v>911</v>
      </c>
      <c r="B186" s="5" t="s">
        <v>1518</v>
      </c>
      <c r="C186" s="5" t="s">
        <v>1197</v>
      </c>
      <c r="D186" s="5">
        <v>181509</v>
      </c>
      <c r="E186" s="5" t="s">
        <v>65</v>
      </c>
      <c r="F186" s="6">
        <v>42843</v>
      </c>
      <c r="G186" s="5" t="s">
        <v>219</v>
      </c>
      <c r="H186" s="5" t="s">
        <v>109</v>
      </c>
      <c r="I186" s="5" t="s">
        <v>110</v>
      </c>
      <c r="J186" s="5" t="s">
        <v>0</v>
      </c>
      <c r="K186" s="5" t="s">
        <v>1</v>
      </c>
      <c r="L186" s="5" t="s">
        <v>2</v>
      </c>
      <c r="M186" s="5" t="s">
        <v>915</v>
      </c>
      <c r="N186" s="5" t="s">
        <v>761</v>
      </c>
      <c r="O186" s="5" t="s">
        <v>158</v>
      </c>
      <c r="P186" s="5" t="s">
        <v>9</v>
      </c>
      <c r="XFD186"/>
    </row>
    <row r="187" spans="1:16 16384:16384" s="5" customFormat="1">
      <c r="A187" s="5" t="s">
        <v>911</v>
      </c>
      <c r="B187" s="5" t="s">
        <v>1519</v>
      </c>
      <c r="C187" s="5" t="s">
        <v>1197</v>
      </c>
      <c r="D187" s="5">
        <v>181526</v>
      </c>
      <c r="E187" s="5" t="s">
        <v>212</v>
      </c>
      <c r="F187" s="6">
        <v>42843</v>
      </c>
      <c r="G187" s="5" t="s">
        <v>260</v>
      </c>
      <c r="H187" s="5" t="s">
        <v>109</v>
      </c>
      <c r="I187" s="5" t="s">
        <v>110</v>
      </c>
      <c r="J187" s="5" t="s">
        <v>0</v>
      </c>
      <c r="K187" s="5" t="s">
        <v>1</v>
      </c>
      <c r="L187" s="5" t="s">
        <v>2</v>
      </c>
      <c r="M187" s="5" t="s">
        <v>915</v>
      </c>
      <c r="N187" s="5" t="s">
        <v>762</v>
      </c>
      <c r="O187" s="5" t="s">
        <v>93</v>
      </c>
      <c r="P187" s="5" t="s">
        <v>9</v>
      </c>
      <c r="XFD187"/>
    </row>
    <row r="188" spans="1:16 16384:16384" s="5" customFormat="1">
      <c r="A188" s="5" t="s">
        <v>911</v>
      </c>
      <c r="B188" s="5" t="s">
        <v>1520</v>
      </c>
      <c r="C188" s="5" t="s">
        <v>1197</v>
      </c>
      <c r="D188" s="5">
        <v>181528</v>
      </c>
      <c r="E188" s="5" t="s">
        <v>86</v>
      </c>
      <c r="F188" s="6">
        <v>42828</v>
      </c>
      <c r="G188" s="5" t="s">
        <v>763</v>
      </c>
      <c r="H188" s="5" t="s">
        <v>109</v>
      </c>
      <c r="I188" s="5" t="s">
        <v>110</v>
      </c>
      <c r="J188" s="5" t="s">
        <v>0</v>
      </c>
      <c r="K188" s="5" t="s">
        <v>1</v>
      </c>
      <c r="L188" s="5" t="s">
        <v>2</v>
      </c>
      <c r="M188" s="5" t="s">
        <v>915</v>
      </c>
      <c r="N188" s="5" t="s">
        <v>764</v>
      </c>
      <c r="O188" s="5" t="s">
        <v>93</v>
      </c>
      <c r="P188" s="5" t="s">
        <v>9</v>
      </c>
      <c r="XFD188"/>
    </row>
    <row r="189" spans="1:16 16384:16384" s="5" customFormat="1">
      <c r="A189" s="5" t="s">
        <v>911</v>
      </c>
      <c r="B189" s="5" t="s">
        <v>1521</v>
      </c>
      <c r="C189" s="5" t="s">
        <v>1197</v>
      </c>
      <c r="D189" s="5">
        <v>181766</v>
      </c>
      <c r="E189" s="5" t="s">
        <v>65</v>
      </c>
      <c r="F189" s="6">
        <v>42843</v>
      </c>
      <c r="G189" s="5" t="s">
        <v>219</v>
      </c>
      <c r="H189" s="5" t="s">
        <v>109</v>
      </c>
      <c r="I189" s="5" t="s">
        <v>110</v>
      </c>
      <c r="J189" s="5" t="s">
        <v>0</v>
      </c>
      <c r="K189" s="5" t="s">
        <v>1</v>
      </c>
      <c r="L189" s="5" t="s">
        <v>2</v>
      </c>
      <c r="M189" s="5" t="s">
        <v>915</v>
      </c>
      <c r="N189" s="5" t="s">
        <v>765</v>
      </c>
      <c r="O189" s="5" t="s">
        <v>143</v>
      </c>
      <c r="P189" s="5" t="s">
        <v>9</v>
      </c>
      <c r="XFD189"/>
    </row>
    <row r="190" spans="1:16 16384:16384" s="5" customFormat="1">
      <c r="A190" s="5" t="s">
        <v>911</v>
      </c>
      <c r="B190" s="5" t="s">
        <v>1522</v>
      </c>
      <c r="C190" s="5" t="s">
        <v>1197</v>
      </c>
      <c r="D190" s="5">
        <v>197778</v>
      </c>
      <c r="E190" s="5" t="s">
        <v>212</v>
      </c>
      <c r="F190" s="6">
        <v>42843</v>
      </c>
      <c r="G190" s="5" t="s">
        <v>260</v>
      </c>
      <c r="H190" s="5" t="s">
        <v>109</v>
      </c>
      <c r="I190" s="5" t="s">
        <v>110</v>
      </c>
      <c r="J190" s="5" t="s">
        <v>0</v>
      </c>
      <c r="K190" s="5" t="s">
        <v>1</v>
      </c>
      <c r="L190" s="5" t="s">
        <v>2</v>
      </c>
      <c r="M190" s="5" t="s">
        <v>915</v>
      </c>
      <c r="N190" s="5" t="s">
        <v>803</v>
      </c>
      <c r="O190" s="5" t="s">
        <v>140</v>
      </c>
      <c r="P190" s="5" t="s">
        <v>9</v>
      </c>
      <c r="XFD190"/>
    </row>
    <row r="191" spans="1:16 16384:16384" s="5" customFormat="1">
      <c r="A191" s="5" t="s">
        <v>911</v>
      </c>
      <c r="B191" s="5" t="s">
        <v>1523</v>
      </c>
      <c r="C191" s="5" t="s">
        <v>1197</v>
      </c>
      <c r="D191" s="5">
        <v>222076</v>
      </c>
      <c r="E191" s="5" t="s">
        <v>212</v>
      </c>
      <c r="F191" s="6">
        <v>42843</v>
      </c>
      <c r="G191" s="5" t="s">
        <v>260</v>
      </c>
      <c r="H191" s="5" t="s">
        <v>109</v>
      </c>
      <c r="I191" s="5" t="s">
        <v>110</v>
      </c>
      <c r="J191" s="5" t="s">
        <v>0</v>
      </c>
      <c r="K191" s="5" t="s">
        <v>1</v>
      </c>
      <c r="L191" s="5" t="s">
        <v>2</v>
      </c>
      <c r="M191" s="5" t="s">
        <v>915</v>
      </c>
      <c r="N191" s="5" t="s">
        <v>808</v>
      </c>
      <c r="O191" s="5" t="s">
        <v>131</v>
      </c>
      <c r="P191" s="5" t="s">
        <v>9</v>
      </c>
      <c r="XFD191"/>
    </row>
    <row r="192" spans="1:16 16384:16384" s="5" customFormat="1">
      <c r="A192" s="5" t="s">
        <v>911</v>
      </c>
      <c r="B192" s="5" t="s">
        <v>1524</v>
      </c>
      <c r="C192" s="5" t="s">
        <v>1197</v>
      </c>
      <c r="D192" s="5">
        <v>259747</v>
      </c>
      <c r="E192" s="5" t="s">
        <v>65</v>
      </c>
      <c r="F192" s="6">
        <v>42843</v>
      </c>
      <c r="G192" s="5" t="s">
        <v>219</v>
      </c>
      <c r="H192" s="5" t="s">
        <v>109</v>
      </c>
      <c r="I192" s="5" t="s">
        <v>110</v>
      </c>
      <c r="J192" s="5" t="s">
        <v>0</v>
      </c>
      <c r="K192" s="5" t="s">
        <v>1</v>
      </c>
      <c r="L192" s="5" t="s">
        <v>2</v>
      </c>
      <c r="M192" s="5" t="s">
        <v>915</v>
      </c>
      <c r="N192" s="5" t="s">
        <v>820</v>
      </c>
      <c r="O192" s="5" t="s">
        <v>131</v>
      </c>
      <c r="P192" s="5" t="s">
        <v>9</v>
      </c>
      <c r="XFD192"/>
    </row>
    <row r="193" spans="1:16 16384:16384" s="5" customFormat="1">
      <c r="A193" s="5" t="s">
        <v>911</v>
      </c>
      <c r="B193" s="5" t="s">
        <v>1525</v>
      </c>
      <c r="C193" s="5" t="s">
        <v>1197</v>
      </c>
      <c r="D193" s="5">
        <v>261928</v>
      </c>
      <c r="E193" s="5" t="s">
        <v>65</v>
      </c>
      <c r="F193" s="6">
        <v>42864</v>
      </c>
      <c r="G193" s="5" t="s">
        <v>343</v>
      </c>
      <c r="H193" s="5" t="s">
        <v>109</v>
      </c>
      <c r="I193" s="5" t="s">
        <v>110</v>
      </c>
      <c r="J193" s="5" t="s">
        <v>0</v>
      </c>
      <c r="K193" s="5" t="s">
        <v>1</v>
      </c>
      <c r="L193" s="5" t="s">
        <v>2</v>
      </c>
      <c r="M193" s="5" t="s">
        <v>915</v>
      </c>
      <c r="N193" s="5" t="s">
        <v>821</v>
      </c>
      <c r="O193" s="5" t="s">
        <v>105</v>
      </c>
      <c r="P193" s="5" t="s">
        <v>9</v>
      </c>
      <c r="XFD193"/>
    </row>
    <row r="194" spans="1:16 16384:16384" s="5" customFormat="1">
      <c r="A194" s="5" t="s">
        <v>911</v>
      </c>
      <c r="B194" s="5" t="s">
        <v>1526</v>
      </c>
      <c r="C194" s="5" t="s">
        <v>1197</v>
      </c>
      <c r="D194" s="5">
        <v>285438</v>
      </c>
      <c r="E194" s="5" t="s">
        <v>65</v>
      </c>
      <c r="F194" s="6">
        <v>42843</v>
      </c>
      <c r="G194" s="5" t="s">
        <v>219</v>
      </c>
      <c r="H194" s="5" t="s">
        <v>109</v>
      </c>
      <c r="I194" s="5" t="s">
        <v>110</v>
      </c>
      <c r="J194" s="5" t="s">
        <v>0</v>
      </c>
      <c r="K194" s="5" t="s">
        <v>1</v>
      </c>
      <c r="L194" s="5" t="s">
        <v>2</v>
      </c>
      <c r="M194" s="5" t="s">
        <v>915</v>
      </c>
      <c r="N194" s="5" t="s">
        <v>826</v>
      </c>
      <c r="O194" s="5" t="s">
        <v>158</v>
      </c>
      <c r="P194" s="5" t="s">
        <v>9</v>
      </c>
      <c r="XFD194"/>
    </row>
    <row r="195" spans="1:16 16384:16384" s="5" customFormat="1">
      <c r="A195" s="5" t="s">
        <v>911</v>
      </c>
      <c r="B195" s="5" t="s">
        <v>1527</v>
      </c>
      <c r="C195" s="5" t="s">
        <v>1197</v>
      </c>
      <c r="D195" s="5">
        <v>307226</v>
      </c>
      <c r="E195" s="5" t="s">
        <v>65</v>
      </c>
      <c r="F195" s="6">
        <v>42843</v>
      </c>
      <c r="G195" s="5" t="s">
        <v>219</v>
      </c>
      <c r="H195" s="5" t="s">
        <v>109</v>
      </c>
      <c r="I195" s="5" t="s">
        <v>110</v>
      </c>
      <c r="J195" s="5" t="s">
        <v>0</v>
      </c>
      <c r="K195" s="5" t="s">
        <v>1</v>
      </c>
      <c r="L195" s="5" t="s">
        <v>2</v>
      </c>
      <c r="M195" s="5" t="s">
        <v>915</v>
      </c>
      <c r="N195" s="5" t="s">
        <v>829</v>
      </c>
      <c r="O195" s="5" t="s">
        <v>143</v>
      </c>
      <c r="P195" s="5" t="s">
        <v>9</v>
      </c>
      <c r="XFD195"/>
    </row>
    <row r="196" spans="1:16 16384:16384" s="5" customFormat="1">
      <c r="A196" s="5" t="s">
        <v>911</v>
      </c>
      <c r="B196" s="5" t="s">
        <v>1528</v>
      </c>
      <c r="C196" s="5" t="s">
        <v>1197</v>
      </c>
      <c r="D196" s="5">
        <v>343103</v>
      </c>
      <c r="E196" s="5" t="s">
        <v>212</v>
      </c>
      <c r="F196" s="6">
        <v>42843</v>
      </c>
      <c r="G196" s="5" t="s">
        <v>260</v>
      </c>
      <c r="H196" s="5" t="s">
        <v>109</v>
      </c>
      <c r="I196" s="5" t="s">
        <v>110</v>
      </c>
      <c r="J196" s="5" t="s">
        <v>0</v>
      </c>
      <c r="K196" s="5" t="s">
        <v>1</v>
      </c>
      <c r="L196" s="5" t="s">
        <v>2</v>
      </c>
      <c r="M196" s="5" t="s">
        <v>915</v>
      </c>
      <c r="N196" s="5" t="s">
        <v>830</v>
      </c>
      <c r="O196" s="5" t="s">
        <v>158</v>
      </c>
      <c r="P196" s="5" t="s">
        <v>9</v>
      </c>
      <c r="XFD196"/>
    </row>
    <row r="197" spans="1:16 16384:16384" s="5" customFormat="1">
      <c r="A197" s="5" t="s">
        <v>911</v>
      </c>
      <c r="B197" s="5" t="s">
        <v>1529</v>
      </c>
      <c r="C197" s="5" t="s">
        <v>1197</v>
      </c>
      <c r="D197" s="5">
        <v>378108</v>
      </c>
      <c r="E197" s="5" t="s">
        <v>212</v>
      </c>
      <c r="F197" s="6">
        <v>42864</v>
      </c>
      <c r="G197" s="5" t="s">
        <v>364</v>
      </c>
      <c r="H197" s="5" t="s">
        <v>109</v>
      </c>
      <c r="I197" s="5" t="s">
        <v>110</v>
      </c>
      <c r="J197" s="5" t="s">
        <v>0</v>
      </c>
      <c r="K197" s="5" t="s">
        <v>1</v>
      </c>
      <c r="L197" s="5" t="s">
        <v>2</v>
      </c>
      <c r="M197" s="5" t="s">
        <v>915</v>
      </c>
      <c r="N197" s="5" t="s">
        <v>835</v>
      </c>
      <c r="O197" s="5" t="s">
        <v>105</v>
      </c>
      <c r="P197" s="5" t="s">
        <v>9</v>
      </c>
      <c r="XFD197"/>
    </row>
    <row r="198" spans="1:16 16384:16384" s="5" customFormat="1">
      <c r="A198" s="5" t="s">
        <v>911</v>
      </c>
      <c r="B198" s="5" t="s">
        <v>1530</v>
      </c>
      <c r="C198" s="5" t="s">
        <v>1197</v>
      </c>
      <c r="D198" s="5">
        <v>378913</v>
      </c>
      <c r="E198" s="5" t="s">
        <v>212</v>
      </c>
      <c r="F198" s="6">
        <v>42864</v>
      </c>
      <c r="G198" s="5" t="s">
        <v>364</v>
      </c>
      <c r="H198" s="5" t="s">
        <v>109</v>
      </c>
      <c r="I198" s="5" t="s">
        <v>110</v>
      </c>
      <c r="J198" s="5" t="s">
        <v>0</v>
      </c>
      <c r="K198" s="5" t="s">
        <v>1</v>
      </c>
      <c r="L198" s="5" t="s">
        <v>2</v>
      </c>
      <c r="M198" s="5" t="s">
        <v>915</v>
      </c>
      <c r="N198" s="5" t="s">
        <v>836</v>
      </c>
      <c r="O198" s="5" t="s">
        <v>105</v>
      </c>
      <c r="P198" s="5" t="s">
        <v>9</v>
      </c>
      <c r="XFD198"/>
    </row>
    <row r="199" spans="1:16 16384:16384" s="5" customFormat="1">
      <c r="A199" s="5" t="s">
        <v>911</v>
      </c>
      <c r="B199" s="5" t="s">
        <v>1531</v>
      </c>
      <c r="C199" s="5" t="s">
        <v>1197</v>
      </c>
      <c r="D199" s="5">
        <v>389759</v>
      </c>
      <c r="E199" s="5" t="s">
        <v>65</v>
      </c>
      <c r="F199" s="6">
        <v>42864</v>
      </c>
      <c r="G199" s="5" t="s">
        <v>343</v>
      </c>
      <c r="H199" s="5" t="s">
        <v>109</v>
      </c>
      <c r="I199" s="5" t="s">
        <v>110</v>
      </c>
      <c r="J199" s="5" t="s">
        <v>0</v>
      </c>
      <c r="K199" s="5" t="s">
        <v>1</v>
      </c>
      <c r="L199" s="5" t="s">
        <v>2</v>
      </c>
      <c r="M199" s="5" t="s">
        <v>915</v>
      </c>
      <c r="N199" s="5" t="s">
        <v>837</v>
      </c>
      <c r="O199" s="5" t="s">
        <v>153</v>
      </c>
      <c r="P199" s="5" t="s">
        <v>9</v>
      </c>
      <c r="XFD199"/>
    </row>
    <row r="200" spans="1:16 16384:16384" s="5" customFormat="1">
      <c r="A200" s="5" t="s">
        <v>911</v>
      </c>
      <c r="B200" s="5" t="s">
        <v>1532</v>
      </c>
      <c r="C200" s="5" t="s">
        <v>1197</v>
      </c>
      <c r="D200" s="5">
        <v>417225</v>
      </c>
      <c r="E200" s="5" t="s">
        <v>65</v>
      </c>
      <c r="F200" s="6">
        <v>42843</v>
      </c>
      <c r="G200" s="5" t="s">
        <v>219</v>
      </c>
      <c r="H200" s="5" t="s">
        <v>109</v>
      </c>
      <c r="I200" s="5" t="s">
        <v>110</v>
      </c>
      <c r="J200" s="5" t="s">
        <v>0</v>
      </c>
      <c r="K200" s="5" t="s">
        <v>1</v>
      </c>
      <c r="L200" s="5" t="s">
        <v>2</v>
      </c>
      <c r="M200" s="5" t="s">
        <v>915</v>
      </c>
      <c r="N200" s="5" t="s">
        <v>842</v>
      </c>
      <c r="O200" s="5" t="s">
        <v>165</v>
      </c>
      <c r="P200" s="5" t="s">
        <v>9</v>
      </c>
      <c r="XFD200"/>
    </row>
    <row r="201" spans="1:16 16384:16384" s="5" customFormat="1">
      <c r="A201" s="5" t="s">
        <v>911</v>
      </c>
      <c r="B201" s="5" t="s">
        <v>1533</v>
      </c>
      <c r="C201" s="5" t="s">
        <v>1197</v>
      </c>
      <c r="D201" s="5">
        <v>436446</v>
      </c>
      <c r="E201" s="5" t="s">
        <v>65</v>
      </c>
      <c r="F201" s="6">
        <v>42843</v>
      </c>
      <c r="G201" s="5" t="s">
        <v>219</v>
      </c>
      <c r="H201" s="5" t="s">
        <v>109</v>
      </c>
      <c r="I201" s="5" t="s">
        <v>110</v>
      </c>
      <c r="J201" s="5" t="s">
        <v>0</v>
      </c>
      <c r="K201" s="5" t="s">
        <v>1</v>
      </c>
      <c r="L201" s="5" t="s">
        <v>2</v>
      </c>
      <c r="M201" s="5" t="s">
        <v>915</v>
      </c>
      <c r="N201" s="5" t="s">
        <v>843</v>
      </c>
      <c r="O201" s="5" t="s">
        <v>143</v>
      </c>
      <c r="P201" s="5" t="s">
        <v>9</v>
      </c>
      <c r="XFD201"/>
    </row>
    <row r="202" spans="1:16 16384:16384" s="5" customFormat="1">
      <c r="A202" s="5" t="s">
        <v>911</v>
      </c>
      <c r="B202" s="5" t="s">
        <v>1534</v>
      </c>
      <c r="C202" s="5" t="s">
        <v>1197</v>
      </c>
      <c r="D202" s="5">
        <v>448922</v>
      </c>
      <c r="E202" s="5" t="s">
        <v>212</v>
      </c>
      <c r="F202" s="6">
        <v>42843</v>
      </c>
      <c r="G202" s="5" t="s">
        <v>260</v>
      </c>
      <c r="H202" s="5" t="s">
        <v>109</v>
      </c>
      <c r="I202" s="5" t="s">
        <v>110</v>
      </c>
      <c r="J202" s="5" t="s">
        <v>0</v>
      </c>
      <c r="K202" s="5" t="s">
        <v>1</v>
      </c>
      <c r="L202" s="5" t="s">
        <v>2</v>
      </c>
      <c r="M202" s="5" t="s">
        <v>915</v>
      </c>
      <c r="N202" s="5" t="s">
        <v>848</v>
      </c>
      <c r="O202" s="5" t="s">
        <v>143</v>
      </c>
      <c r="P202" s="5" t="s">
        <v>9</v>
      </c>
      <c r="XFD202"/>
    </row>
    <row r="203" spans="1:16 16384:16384" s="5" customFormat="1">
      <c r="A203" s="5" t="s">
        <v>911</v>
      </c>
      <c r="B203" s="5" t="s">
        <v>1535</v>
      </c>
      <c r="C203" s="5" t="s">
        <v>1197</v>
      </c>
      <c r="D203" s="5">
        <v>448923</v>
      </c>
      <c r="E203" s="5" t="s">
        <v>65</v>
      </c>
      <c r="F203" s="6">
        <v>42843</v>
      </c>
      <c r="G203" s="5" t="s">
        <v>219</v>
      </c>
      <c r="H203" s="5" t="s">
        <v>109</v>
      </c>
      <c r="I203" s="5" t="s">
        <v>110</v>
      </c>
      <c r="J203" s="5" t="s">
        <v>0</v>
      </c>
      <c r="K203" s="5" t="s">
        <v>1</v>
      </c>
      <c r="L203" s="5" t="s">
        <v>2</v>
      </c>
      <c r="M203" s="5" t="s">
        <v>915</v>
      </c>
      <c r="N203" s="5" t="s">
        <v>849</v>
      </c>
      <c r="O203" s="5" t="s">
        <v>165</v>
      </c>
      <c r="P203" s="5" t="s">
        <v>9</v>
      </c>
      <c r="XFD203"/>
    </row>
    <row r="204" spans="1:16 16384:16384" s="5" customFormat="1">
      <c r="A204" s="5" t="s">
        <v>911</v>
      </c>
      <c r="B204" s="5" t="s">
        <v>1536</v>
      </c>
      <c r="C204" s="5" t="s">
        <v>1197</v>
      </c>
      <c r="D204" s="5">
        <v>448924</v>
      </c>
      <c r="E204" s="5" t="s">
        <v>65</v>
      </c>
      <c r="F204" s="6">
        <v>42843</v>
      </c>
      <c r="G204" s="5" t="s">
        <v>219</v>
      </c>
      <c r="H204" s="5" t="s">
        <v>109</v>
      </c>
      <c r="I204" s="5" t="s">
        <v>110</v>
      </c>
      <c r="J204" s="5" t="s">
        <v>0</v>
      </c>
      <c r="K204" s="5" t="s">
        <v>1</v>
      </c>
      <c r="L204" s="5" t="s">
        <v>2</v>
      </c>
      <c r="M204" s="5" t="s">
        <v>915</v>
      </c>
      <c r="N204" s="5" t="s">
        <v>850</v>
      </c>
      <c r="O204" s="5" t="s">
        <v>165</v>
      </c>
      <c r="P204" s="5" t="s">
        <v>9</v>
      </c>
      <c r="XFD204"/>
    </row>
    <row r="205" spans="1:16 16384:16384" s="5" customFormat="1">
      <c r="A205" s="5" t="s">
        <v>911</v>
      </c>
      <c r="B205" s="5" t="s">
        <v>1537</v>
      </c>
      <c r="C205" s="5" t="s">
        <v>1197</v>
      </c>
      <c r="D205" s="5">
        <v>448925</v>
      </c>
      <c r="E205" s="5" t="s">
        <v>65</v>
      </c>
      <c r="F205" s="6">
        <v>42843</v>
      </c>
      <c r="G205" s="5" t="s">
        <v>219</v>
      </c>
      <c r="H205" s="5" t="s">
        <v>109</v>
      </c>
      <c r="I205" s="5" t="s">
        <v>110</v>
      </c>
      <c r="J205" s="5" t="s">
        <v>0</v>
      </c>
      <c r="K205" s="5" t="s">
        <v>1</v>
      </c>
      <c r="L205" s="5" t="s">
        <v>2</v>
      </c>
      <c r="M205" s="5" t="s">
        <v>915</v>
      </c>
      <c r="N205" s="5" t="s">
        <v>851</v>
      </c>
      <c r="O205" s="5" t="s">
        <v>165</v>
      </c>
      <c r="P205" s="5" t="s">
        <v>9</v>
      </c>
      <c r="XFD205"/>
    </row>
    <row r="206" spans="1:16 16384:16384" s="5" customFormat="1">
      <c r="A206" s="5" t="s">
        <v>911</v>
      </c>
      <c r="B206" s="5" t="s">
        <v>1538</v>
      </c>
      <c r="C206" s="5" t="s">
        <v>1197</v>
      </c>
      <c r="D206" s="5">
        <v>448926</v>
      </c>
      <c r="E206" s="5" t="s">
        <v>65</v>
      </c>
      <c r="F206" s="6">
        <v>42843</v>
      </c>
      <c r="G206" s="5" t="s">
        <v>219</v>
      </c>
      <c r="H206" s="5" t="s">
        <v>109</v>
      </c>
      <c r="I206" s="5" t="s">
        <v>110</v>
      </c>
      <c r="J206" s="5" t="s">
        <v>0</v>
      </c>
      <c r="K206" s="5" t="s">
        <v>1</v>
      </c>
      <c r="L206" s="5" t="s">
        <v>2</v>
      </c>
      <c r="M206" s="5" t="s">
        <v>915</v>
      </c>
      <c r="N206" s="5" t="s">
        <v>852</v>
      </c>
      <c r="O206" s="5" t="s">
        <v>131</v>
      </c>
      <c r="P206" s="5" t="s">
        <v>9</v>
      </c>
      <c r="XFD206"/>
    </row>
    <row r="207" spans="1:16 16384:16384" s="5" customFormat="1">
      <c r="A207" s="5" t="s">
        <v>911</v>
      </c>
      <c r="B207" s="5" t="s">
        <v>1539</v>
      </c>
      <c r="C207" s="5" t="s">
        <v>1197</v>
      </c>
      <c r="D207" s="5">
        <v>448927</v>
      </c>
      <c r="E207" s="5" t="s">
        <v>65</v>
      </c>
      <c r="F207" s="6">
        <v>42843</v>
      </c>
      <c r="G207" s="5" t="s">
        <v>219</v>
      </c>
      <c r="H207" s="5" t="s">
        <v>109</v>
      </c>
      <c r="I207" s="5" t="s">
        <v>110</v>
      </c>
      <c r="J207" s="5" t="s">
        <v>0</v>
      </c>
      <c r="K207" s="5" t="s">
        <v>1</v>
      </c>
      <c r="L207" s="5" t="s">
        <v>2</v>
      </c>
      <c r="M207" s="5" t="s">
        <v>915</v>
      </c>
      <c r="N207" s="5" t="s">
        <v>853</v>
      </c>
      <c r="O207" s="5" t="s">
        <v>158</v>
      </c>
      <c r="P207" s="5" t="s">
        <v>9</v>
      </c>
      <c r="XFD207"/>
    </row>
    <row r="208" spans="1:16 16384:16384" s="5" customFormat="1">
      <c r="A208" s="5" t="s">
        <v>911</v>
      </c>
      <c r="B208" s="5" t="s">
        <v>1540</v>
      </c>
      <c r="C208" s="5" t="s">
        <v>1197</v>
      </c>
      <c r="D208" s="5">
        <v>448928</v>
      </c>
      <c r="E208" s="5" t="s">
        <v>212</v>
      </c>
      <c r="F208" s="6">
        <v>42843</v>
      </c>
      <c r="G208" s="5" t="s">
        <v>260</v>
      </c>
      <c r="H208" s="5" t="s">
        <v>109</v>
      </c>
      <c r="I208" s="5" t="s">
        <v>110</v>
      </c>
      <c r="J208" s="5" t="s">
        <v>0</v>
      </c>
      <c r="K208" s="5" t="s">
        <v>1</v>
      </c>
      <c r="L208" s="5" t="s">
        <v>2</v>
      </c>
      <c r="M208" s="5" t="s">
        <v>915</v>
      </c>
      <c r="N208" s="5" t="s">
        <v>854</v>
      </c>
      <c r="O208" s="5" t="s">
        <v>158</v>
      </c>
      <c r="P208" s="5" t="s">
        <v>9</v>
      </c>
      <c r="XFD208"/>
    </row>
    <row r="209" spans="1:16 16384:16384" s="5" customFormat="1">
      <c r="A209" s="5" t="s">
        <v>911</v>
      </c>
      <c r="B209" s="5" t="s">
        <v>1541</v>
      </c>
      <c r="C209" s="5" t="s">
        <v>1197</v>
      </c>
      <c r="D209" s="5">
        <v>448929</v>
      </c>
      <c r="E209" s="5" t="s">
        <v>212</v>
      </c>
      <c r="F209" s="6">
        <v>42843</v>
      </c>
      <c r="G209" s="5" t="s">
        <v>260</v>
      </c>
      <c r="H209" s="5" t="s">
        <v>109</v>
      </c>
      <c r="I209" s="5" t="s">
        <v>110</v>
      </c>
      <c r="J209" s="5" t="s">
        <v>0</v>
      </c>
      <c r="K209" s="5" t="s">
        <v>1</v>
      </c>
      <c r="L209" s="5" t="s">
        <v>2</v>
      </c>
      <c r="M209" s="5" t="s">
        <v>915</v>
      </c>
      <c r="N209" s="5" t="s">
        <v>855</v>
      </c>
      <c r="O209" s="5" t="s">
        <v>158</v>
      </c>
      <c r="P209" s="5" t="s">
        <v>9</v>
      </c>
      <c r="XFD209"/>
    </row>
    <row r="210" spans="1:16 16384:16384" s="5" customFormat="1">
      <c r="A210" s="5" t="s">
        <v>911</v>
      </c>
      <c r="B210" s="5" t="s">
        <v>1542</v>
      </c>
      <c r="C210" s="5" t="s">
        <v>1197</v>
      </c>
      <c r="D210" s="5">
        <v>448930</v>
      </c>
      <c r="E210" s="5" t="s">
        <v>212</v>
      </c>
      <c r="F210" s="6">
        <v>42843</v>
      </c>
      <c r="G210" s="5" t="s">
        <v>260</v>
      </c>
      <c r="H210" s="5" t="s">
        <v>109</v>
      </c>
      <c r="I210" s="5" t="s">
        <v>110</v>
      </c>
      <c r="J210" s="5" t="s">
        <v>0</v>
      </c>
      <c r="K210" s="5" t="s">
        <v>1</v>
      </c>
      <c r="L210" s="5" t="s">
        <v>2</v>
      </c>
      <c r="M210" s="5" t="s">
        <v>915</v>
      </c>
      <c r="N210" s="5" t="s">
        <v>856</v>
      </c>
      <c r="O210" s="5" t="s">
        <v>158</v>
      </c>
      <c r="P210" s="5" t="s">
        <v>9</v>
      </c>
      <c r="XFD210"/>
    </row>
    <row r="211" spans="1:16 16384:16384" s="5" customFormat="1">
      <c r="A211" s="5" t="s">
        <v>911</v>
      </c>
      <c r="B211" s="5" t="s">
        <v>1543</v>
      </c>
      <c r="C211" s="5" t="s">
        <v>1197</v>
      </c>
      <c r="D211" s="5">
        <v>448931</v>
      </c>
      <c r="E211" s="5" t="s">
        <v>212</v>
      </c>
      <c r="F211" s="6">
        <v>42843</v>
      </c>
      <c r="G211" s="5" t="s">
        <v>260</v>
      </c>
      <c r="H211" s="5" t="s">
        <v>109</v>
      </c>
      <c r="I211" s="5" t="s">
        <v>110</v>
      </c>
      <c r="J211" s="5" t="s">
        <v>0</v>
      </c>
      <c r="K211" s="5" t="s">
        <v>1</v>
      </c>
      <c r="L211" s="5" t="s">
        <v>2</v>
      </c>
      <c r="M211" s="5" t="s">
        <v>915</v>
      </c>
      <c r="N211" s="5" t="s">
        <v>857</v>
      </c>
      <c r="O211" s="5" t="s">
        <v>93</v>
      </c>
      <c r="P211" s="5" t="s">
        <v>9</v>
      </c>
      <c r="XFD211"/>
    </row>
    <row r="212" spans="1:16 16384:16384" s="5" customFormat="1">
      <c r="A212" s="5" t="s">
        <v>911</v>
      </c>
      <c r="B212" s="5" t="s">
        <v>1544</v>
      </c>
      <c r="C212" s="5" t="s">
        <v>1197</v>
      </c>
      <c r="D212" s="5">
        <v>448932</v>
      </c>
      <c r="E212" s="5" t="s">
        <v>212</v>
      </c>
      <c r="F212" s="6">
        <v>42843</v>
      </c>
      <c r="G212" s="5" t="s">
        <v>260</v>
      </c>
      <c r="H212" s="5" t="s">
        <v>109</v>
      </c>
      <c r="I212" s="5" t="s">
        <v>110</v>
      </c>
      <c r="J212" s="5" t="s">
        <v>0</v>
      </c>
      <c r="K212" s="5" t="s">
        <v>1</v>
      </c>
      <c r="L212" s="5" t="s">
        <v>2</v>
      </c>
      <c r="M212" s="5" t="s">
        <v>915</v>
      </c>
      <c r="N212" s="5" t="s">
        <v>858</v>
      </c>
      <c r="O212" s="5" t="s">
        <v>93</v>
      </c>
      <c r="P212" s="5" t="s">
        <v>9</v>
      </c>
      <c r="XFD212"/>
    </row>
    <row r="213" spans="1:16 16384:16384" s="5" customFormat="1">
      <c r="A213" s="5" t="s">
        <v>911</v>
      </c>
      <c r="B213" s="5" t="s">
        <v>1545</v>
      </c>
      <c r="C213" s="5" t="s">
        <v>1197</v>
      </c>
      <c r="D213" s="5">
        <v>448933</v>
      </c>
      <c r="E213" s="5" t="s">
        <v>212</v>
      </c>
      <c r="F213" s="6">
        <v>42843</v>
      </c>
      <c r="G213" s="5" t="s">
        <v>260</v>
      </c>
      <c r="H213" s="5" t="s">
        <v>109</v>
      </c>
      <c r="I213" s="5" t="s">
        <v>110</v>
      </c>
      <c r="J213" s="5" t="s">
        <v>0</v>
      </c>
      <c r="K213" s="5" t="s">
        <v>1</v>
      </c>
      <c r="L213" s="5" t="s">
        <v>2</v>
      </c>
      <c r="M213" s="5" t="s">
        <v>915</v>
      </c>
      <c r="N213" s="5" t="s">
        <v>859</v>
      </c>
      <c r="O213" s="5" t="s">
        <v>93</v>
      </c>
      <c r="P213" s="5" t="s">
        <v>9</v>
      </c>
      <c r="XFD213"/>
    </row>
    <row r="214" spans="1:16 16384:16384" s="5" customFormat="1">
      <c r="A214" s="5" t="s">
        <v>911</v>
      </c>
      <c r="B214" s="5" t="s">
        <v>1546</v>
      </c>
      <c r="C214" s="5" t="s">
        <v>1197</v>
      </c>
      <c r="D214" s="5">
        <v>448934</v>
      </c>
      <c r="E214" s="5" t="s">
        <v>65</v>
      </c>
      <c r="F214" s="6">
        <v>42843</v>
      </c>
      <c r="G214" s="5" t="s">
        <v>219</v>
      </c>
      <c r="H214" s="5" t="s">
        <v>109</v>
      </c>
      <c r="I214" s="5" t="s">
        <v>110</v>
      </c>
      <c r="J214" s="5" t="s">
        <v>0</v>
      </c>
      <c r="K214" s="5" t="s">
        <v>1</v>
      </c>
      <c r="L214" s="5" t="s">
        <v>2</v>
      </c>
      <c r="M214" s="5" t="s">
        <v>915</v>
      </c>
      <c r="N214" s="5" t="s">
        <v>860</v>
      </c>
      <c r="O214" s="5" t="s">
        <v>93</v>
      </c>
      <c r="P214" s="5" t="s">
        <v>9</v>
      </c>
      <c r="XFD214"/>
    </row>
    <row r="215" spans="1:16 16384:16384" s="5" customFormat="1">
      <c r="A215" s="5" t="s">
        <v>911</v>
      </c>
      <c r="B215" s="5" t="s">
        <v>1547</v>
      </c>
      <c r="C215" s="5" t="s">
        <v>1197</v>
      </c>
      <c r="D215" s="5">
        <v>448935</v>
      </c>
      <c r="E215" s="5" t="s">
        <v>65</v>
      </c>
      <c r="F215" s="6">
        <v>42843</v>
      </c>
      <c r="G215" s="5" t="s">
        <v>219</v>
      </c>
      <c r="H215" s="5" t="s">
        <v>109</v>
      </c>
      <c r="I215" s="5" t="s">
        <v>110</v>
      </c>
      <c r="J215" s="5" t="s">
        <v>0</v>
      </c>
      <c r="K215" s="5" t="s">
        <v>1</v>
      </c>
      <c r="L215" s="5" t="s">
        <v>2</v>
      </c>
      <c r="M215" s="5" t="s">
        <v>915</v>
      </c>
      <c r="N215" s="5" t="s">
        <v>861</v>
      </c>
      <c r="O215" s="5" t="s">
        <v>93</v>
      </c>
      <c r="P215" s="5" t="s">
        <v>9</v>
      </c>
      <c r="XFD215"/>
    </row>
    <row r="216" spans="1:16 16384:16384" s="5" customFormat="1">
      <c r="A216" s="5" t="s">
        <v>911</v>
      </c>
      <c r="B216" s="5" t="s">
        <v>1548</v>
      </c>
      <c r="C216" s="5" t="s">
        <v>1197</v>
      </c>
      <c r="D216" s="5">
        <v>448936</v>
      </c>
      <c r="E216" s="5" t="s">
        <v>212</v>
      </c>
      <c r="F216" s="6">
        <v>42843</v>
      </c>
      <c r="G216" s="5" t="s">
        <v>260</v>
      </c>
      <c r="H216" s="5" t="s">
        <v>109</v>
      </c>
      <c r="I216" s="5" t="s">
        <v>110</v>
      </c>
      <c r="J216" s="5" t="s">
        <v>0</v>
      </c>
      <c r="K216" s="5" t="s">
        <v>1</v>
      </c>
      <c r="L216" s="5" t="s">
        <v>2</v>
      </c>
      <c r="M216" s="5" t="s">
        <v>915</v>
      </c>
      <c r="N216" s="5" t="s">
        <v>862</v>
      </c>
      <c r="O216" s="5" t="s">
        <v>93</v>
      </c>
      <c r="P216" s="5" t="s">
        <v>9</v>
      </c>
      <c r="XFD216"/>
    </row>
    <row r="217" spans="1:16 16384:16384" s="5" customFormat="1">
      <c r="A217" s="5" t="s">
        <v>911</v>
      </c>
      <c r="B217" s="5" t="s">
        <v>1549</v>
      </c>
      <c r="C217" s="5" t="s">
        <v>1197</v>
      </c>
      <c r="D217" s="5">
        <v>448937</v>
      </c>
      <c r="E217" s="5" t="s">
        <v>212</v>
      </c>
      <c r="F217" s="6">
        <v>42843</v>
      </c>
      <c r="G217" s="5" t="s">
        <v>260</v>
      </c>
      <c r="H217" s="5" t="s">
        <v>109</v>
      </c>
      <c r="I217" s="5" t="s">
        <v>110</v>
      </c>
      <c r="J217" s="5" t="s">
        <v>0</v>
      </c>
      <c r="K217" s="5" t="s">
        <v>1</v>
      </c>
      <c r="L217" s="5" t="s">
        <v>2</v>
      </c>
      <c r="M217" s="5" t="s">
        <v>915</v>
      </c>
      <c r="N217" s="5" t="s">
        <v>863</v>
      </c>
      <c r="O217" s="5" t="s">
        <v>93</v>
      </c>
      <c r="P217" s="5" t="s">
        <v>9</v>
      </c>
      <c r="XFD217"/>
    </row>
    <row r="218" spans="1:16 16384:16384" s="5" customFormat="1">
      <c r="A218" s="5" t="s">
        <v>911</v>
      </c>
      <c r="B218" s="5" t="s">
        <v>1550</v>
      </c>
      <c r="C218" s="5" t="s">
        <v>1197</v>
      </c>
      <c r="D218" s="5">
        <v>448938</v>
      </c>
      <c r="E218" s="5" t="s">
        <v>212</v>
      </c>
      <c r="F218" s="6">
        <v>42843</v>
      </c>
      <c r="G218" s="5" t="s">
        <v>864</v>
      </c>
      <c r="H218" s="5" t="s">
        <v>109</v>
      </c>
      <c r="I218" s="5" t="s">
        <v>110</v>
      </c>
      <c r="J218" s="5" t="s">
        <v>0</v>
      </c>
      <c r="K218" s="5" t="s">
        <v>1</v>
      </c>
      <c r="L218" s="5" t="s">
        <v>2</v>
      </c>
      <c r="M218" s="5" t="s">
        <v>915</v>
      </c>
      <c r="N218" s="5" t="s">
        <v>865</v>
      </c>
      <c r="O218" s="5" t="s">
        <v>140</v>
      </c>
      <c r="P218" s="5" t="s">
        <v>9</v>
      </c>
      <c r="XFD218"/>
    </row>
    <row r="219" spans="1:16 16384:16384" s="5" customFormat="1">
      <c r="A219" s="5" t="s">
        <v>911</v>
      </c>
      <c r="B219" s="5" t="s">
        <v>1551</v>
      </c>
      <c r="C219" s="5" t="s">
        <v>1197</v>
      </c>
      <c r="D219" s="5">
        <v>448939</v>
      </c>
      <c r="E219" s="5" t="s">
        <v>65</v>
      </c>
      <c r="F219" s="6">
        <v>42843</v>
      </c>
      <c r="G219" s="5" t="s">
        <v>866</v>
      </c>
      <c r="H219" s="5" t="s">
        <v>109</v>
      </c>
      <c r="I219" s="5" t="s">
        <v>110</v>
      </c>
      <c r="J219" s="5" t="s">
        <v>0</v>
      </c>
      <c r="K219" s="5" t="s">
        <v>1</v>
      </c>
      <c r="L219" s="5" t="s">
        <v>2</v>
      </c>
      <c r="M219" s="5" t="s">
        <v>915</v>
      </c>
      <c r="N219" s="5" t="s">
        <v>867</v>
      </c>
      <c r="O219" s="5" t="s">
        <v>140</v>
      </c>
      <c r="P219" s="5" t="s">
        <v>9</v>
      </c>
      <c r="XFD219"/>
    </row>
    <row r="220" spans="1:16 16384:16384" s="5" customFormat="1">
      <c r="A220" s="5" t="s">
        <v>911</v>
      </c>
      <c r="B220" s="5" t="s">
        <v>1552</v>
      </c>
      <c r="C220" s="5" t="s">
        <v>1197</v>
      </c>
      <c r="D220" s="5">
        <v>448940</v>
      </c>
      <c r="E220" s="5" t="s">
        <v>212</v>
      </c>
      <c r="F220" s="6">
        <v>42843</v>
      </c>
      <c r="G220" s="5" t="s">
        <v>260</v>
      </c>
      <c r="H220" s="5" t="s">
        <v>109</v>
      </c>
      <c r="I220" s="5" t="s">
        <v>110</v>
      </c>
      <c r="J220" s="5" t="s">
        <v>0</v>
      </c>
      <c r="K220" s="5" t="s">
        <v>1</v>
      </c>
      <c r="L220" s="5" t="s">
        <v>2</v>
      </c>
      <c r="M220" s="5" t="s">
        <v>915</v>
      </c>
      <c r="N220" s="5" t="s">
        <v>868</v>
      </c>
      <c r="O220" s="5" t="s">
        <v>140</v>
      </c>
      <c r="P220" s="5" t="s">
        <v>9</v>
      </c>
      <c r="XFD220"/>
    </row>
    <row r="221" spans="1:16 16384:16384" s="5" customFormat="1">
      <c r="A221" s="5" t="s">
        <v>911</v>
      </c>
      <c r="B221" s="5" t="s">
        <v>1553</v>
      </c>
      <c r="C221" s="5" t="s">
        <v>1197</v>
      </c>
      <c r="D221" s="5">
        <v>448941</v>
      </c>
      <c r="E221" s="5" t="s">
        <v>65</v>
      </c>
      <c r="F221" s="6">
        <v>42843</v>
      </c>
      <c r="G221" s="5" t="s">
        <v>219</v>
      </c>
      <c r="H221" s="5" t="s">
        <v>109</v>
      </c>
      <c r="I221" s="5" t="s">
        <v>110</v>
      </c>
      <c r="J221" s="5" t="s">
        <v>0</v>
      </c>
      <c r="K221" s="5" t="s">
        <v>1</v>
      </c>
      <c r="L221" s="5" t="s">
        <v>2</v>
      </c>
      <c r="M221" s="5" t="s">
        <v>915</v>
      </c>
      <c r="N221" s="5" t="s">
        <v>869</v>
      </c>
      <c r="O221" s="5" t="s">
        <v>140</v>
      </c>
      <c r="P221" s="5" t="s">
        <v>9</v>
      </c>
      <c r="XFD221"/>
    </row>
    <row r="222" spans="1:16 16384:16384" s="5" customFormat="1">
      <c r="A222" s="5" t="s">
        <v>911</v>
      </c>
      <c r="B222" s="5" t="s">
        <v>1554</v>
      </c>
      <c r="C222" s="5" t="s">
        <v>1197</v>
      </c>
      <c r="D222" s="5">
        <v>448942</v>
      </c>
      <c r="E222" s="5" t="s">
        <v>65</v>
      </c>
      <c r="F222" s="6">
        <v>42843</v>
      </c>
      <c r="G222" s="5" t="s">
        <v>219</v>
      </c>
      <c r="H222" s="5" t="s">
        <v>109</v>
      </c>
      <c r="I222" s="5" t="s">
        <v>110</v>
      </c>
      <c r="J222" s="5" t="s">
        <v>0</v>
      </c>
      <c r="K222" s="5" t="s">
        <v>1</v>
      </c>
      <c r="L222" s="5" t="s">
        <v>2</v>
      </c>
      <c r="M222" s="5" t="s">
        <v>915</v>
      </c>
      <c r="N222" s="5" t="s">
        <v>870</v>
      </c>
      <c r="O222" s="5" t="s">
        <v>140</v>
      </c>
      <c r="P222" s="5" t="s">
        <v>9</v>
      </c>
      <c r="XFD222"/>
    </row>
    <row r="223" spans="1:16 16384:16384" s="5" customFormat="1">
      <c r="A223" s="5" t="s">
        <v>911</v>
      </c>
      <c r="B223" s="5" t="s">
        <v>1555</v>
      </c>
      <c r="C223" s="5" t="s">
        <v>1197</v>
      </c>
      <c r="D223" s="5">
        <v>448943</v>
      </c>
      <c r="E223" s="5" t="s">
        <v>65</v>
      </c>
      <c r="F223" s="6">
        <v>42843</v>
      </c>
      <c r="G223" s="5" t="s">
        <v>219</v>
      </c>
      <c r="H223" s="5" t="s">
        <v>109</v>
      </c>
      <c r="I223" s="5" t="s">
        <v>110</v>
      </c>
      <c r="J223" s="5" t="s">
        <v>0</v>
      </c>
      <c r="K223" s="5" t="s">
        <v>1</v>
      </c>
      <c r="L223" s="5" t="s">
        <v>2</v>
      </c>
      <c r="M223" s="5" t="s">
        <v>915</v>
      </c>
      <c r="N223" s="5" t="s">
        <v>871</v>
      </c>
      <c r="O223" s="5" t="s">
        <v>140</v>
      </c>
      <c r="P223" s="5" t="s">
        <v>9</v>
      </c>
      <c r="XFD223"/>
    </row>
    <row r="224" spans="1:16 16384:16384" s="5" customFormat="1">
      <c r="A224" s="5" t="s">
        <v>911</v>
      </c>
      <c r="B224" s="5" t="s">
        <v>1556</v>
      </c>
      <c r="C224" s="5" t="s">
        <v>1197</v>
      </c>
      <c r="D224" s="5">
        <v>448944</v>
      </c>
      <c r="E224" s="5" t="s">
        <v>212</v>
      </c>
      <c r="F224" s="6">
        <v>42843</v>
      </c>
      <c r="G224" s="5" t="s">
        <v>260</v>
      </c>
      <c r="H224" s="5" t="s">
        <v>109</v>
      </c>
      <c r="I224" s="5" t="s">
        <v>110</v>
      </c>
      <c r="J224" s="5" t="s">
        <v>0</v>
      </c>
      <c r="K224" s="5" t="s">
        <v>1</v>
      </c>
      <c r="L224" s="5" t="s">
        <v>2</v>
      </c>
      <c r="M224" s="5" t="s">
        <v>915</v>
      </c>
      <c r="N224" s="5" t="s">
        <v>872</v>
      </c>
      <c r="O224" s="5" t="s">
        <v>140</v>
      </c>
      <c r="P224" s="5" t="s">
        <v>9</v>
      </c>
      <c r="XFD224"/>
    </row>
    <row r="225" spans="1:16 16384:16384" s="5" customFormat="1">
      <c r="A225" s="5" t="s">
        <v>911</v>
      </c>
      <c r="B225" s="5" t="s">
        <v>1557</v>
      </c>
      <c r="C225" s="5" t="s">
        <v>1197</v>
      </c>
      <c r="D225" s="5">
        <v>448945</v>
      </c>
      <c r="E225" s="5" t="s">
        <v>212</v>
      </c>
      <c r="F225" s="6">
        <v>42843</v>
      </c>
      <c r="G225" s="5" t="s">
        <v>260</v>
      </c>
      <c r="H225" s="5" t="s">
        <v>109</v>
      </c>
      <c r="I225" s="5" t="s">
        <v>110</v>
      </c>
      <c r="J225" s="5" t="s">
        <v>0</v>
      </c>
      <c r="K225" s="5" t="s">
        <v>1</v>
      </c>
      <c r="L225" s="5" t="s">
        <v>2</v>
      </c>
      <c r="M225" s="5" t="s">
        <v>915</v>
      </c>
      <c r="N225" s="5" t="s">
        <v>873</v>
      </c>
      <c r="O225" s="5" t="s">
        <v>140</v>
      </c>
      <c r="P225" s="5" t="s">
        <v>9</v>
      </c>
      <c r="XFD225"/>
    </row>
    <row r="226" spans="1:16 16384:16384" s="5" customFormat="1">
      <c r="A226" s="5" t="s">
        <v>911</v>
      </c>
      <c r="B226" s="5" t="s">
        <v>1558</v>
      </c>
      <c r="C226" s="5" t="s">
        <v>1197</v>
      </c>
      <c r="D226" s="5">
        <v>448946</v>
      </c>
      <c r="E226" s="5" t="s">
        <v>212</v>
      </c>
      <c r="F226" s="6">
        <v>42843</v>
      </c>
      <c r="G226" s="5" t="s">
        <v>260</v>
      </c>
      <c r="H226" s="5" t="s">
        <v>109</v>
      </c>
      <c r="I226" s="5" t="s">
        <v>110</v>
      </c>
      <c r="J226" s="5" t="s">
        <v>0</v>
      </c>
      <c r="K226" s="5" t="s">
        <v>1</v>
      </c>
      <c r="L226" s="5" t="s">
        <v>2</v>
      </c>
      <c r="M226" s="5" t="s">
        <v>915</v>
      </c>
      <c r="N226" s="5" t="s">
        <v>874</v>
      </c>
      <c r="O226" s="5" t="s">
        <v>140</v>
      </c>
      <c r="P226" s="5" t="s">
        <v>9</v>
      </c>
      <c r="XFD226"/>
    </row>
    <row r="227" spans="1:16 16384:16384" s="5" customFormat="1">
      <c r="A227" s="5" t="s">
        <v>911</v>
      </c>
      <c r="B227" s="5" t="s">
        <v>1559</v>
      </c>
      <c r="C227" s="5" t="s">
        <v>1197</v>
      </c>
      <c r="D227" s="5">
        <v>448947</v>
      </c>
      <c r="E227" s="5" t="s">
        <v>65</v>
      </c>
      <c r="F227" s="6">
        <v>42843</v>
      </c>
      <c r="G227" s="5" t="s">
        <v>219</v>
      </c>
      <c r="H227" s="5" t="s">
        <v>109</v>
      </c>
      <c r="I227" s="5" t="s">
        <v>110</v>
      </c>
      <c r="J227" s="5" t="s">
        <v>0</v>
      </c>
      <c r="K227" s="5" t="s">
        <v>1</v>
      </c>
      <c r="L227" s="5" t="s">
        <v>2</v>
      </c>
      <c r="M227" s="5" t="s">
        <v>915</v>
      </c>
      <c r="N227" s="5" t="s">
        <v>875</v>
      </c>
      <c r="O227" s="5" t="s">
        <v>140</v>
      </c>
      <c r="P227" s="5" t="s">
        <v>9</v>
      </c>
      <c r="XFD227"/>
    </row>
    <row r="228" spans="1:16 16384:16384" s="5" customFormat="1">
      <c r="A228" s="5" t="s">
        <v>911</v>
      </c>
      <c r="B228" s="5" t="s">
        <v>1560</v>
      </c>
      <c r="C228" s="5" t="s">
        <v>1197</v>
      </c>
      <c r="D228" s="5">
        <v>448948</v>
      </c>
      <c r="E228" s="5" t="s">
        <v>212</v>
      </c>
      <c r="F228" s="6">
        <v>42864</v>
      </c>
      <c r="G228" s="5" t="s">
        <v>364</v>
      </c>
      <c r="H228" s="5" t="s">
        <v>109</v>
      </c>
      <c r="I228" s="5" t="s">
        <v>110</v>
      </c>
      <c r="J228" s="5" t="s">
        <v>0</v>
      </c>
      <c r="K228" s="5" t="s">
        <v>1</v>
      </c>
      <c r="L228" s="5" t="s">
        <v>2</v>
      </c>
      <c r="M228" s="5" t="s">
        <v>915</v>
      </c>
      <c r="N228" s="5" t="s">
        <v>876</v>
      </c>
      <c r="O228" s="5" t="s">
        <v>153</v>
      </c>
      <c r="P228" s="5" t="s">
        <v>9</v>
      </c>
      <c r="XFD228"/>
    </row>
    <row r="229" spans="1:16 16384:16384" s="5" customFormat="1">
      <c r="A229" s="5" t="s">
        <v>911</v>
      </c>
      <c r="B229" s="5" t="s">
        <v>1561</v>
      </c>
      <c r="C229" s="5" t="s">
        <v>1197</v>
      </c>
      <c r="D229" s="5">
        <v>448949</v>
      </c>
      <c r="E229" s="5" t="s">
        <v>212</v>
      </c>
      <c r="F229" s="6">
        <v>42864</v>
      </c>
      <c r="G229" s="5" t="s">
        <v>364</v>
      </c>
      <c r="H229" s="5" t="s">
        <v>109</v>
      </c>
      <c r="I229" s="5" t="s">
        <v>110</v>
      </c>
      <c r="J229" s="5" t="s">
        <v>0</v>
      </c>
      <c r="K229" s="5" t="s">
        <v>1</v>
      </c>
      <c r="L229" s="5" t="s">
        <v>2</v>
      </c>
      <c r="M229" s="5" t="s">
        <v>915</v>
      </c>
      <c r="N229" s="5" t="s">
        <v>877</v>
      </c>
      <c r="O229" s="5" t="s">
        <v>153</v>
      </c>
      <c r="P229" s="5" t="s">
        <v>9</v>
      </c>
      <c r="XFD229"/>
    </row>
    <row r="230" spans="1:16 16384:16384" s="5" customFormat="1">
      <c r="A230" s="5" t="s">
        <v>911</v>
      </c>
      <c r="B230" s="5" t="s">
        <v>1562</v>
      </c>
      <c r="C230" s="5" t="s">
        <v>1197</v>
      </c>
      <c r="D230" s="5">
        <v>448950</v>
      </c>
      <c r="E230" s="5" t="s">
        <v>212</v>
      </c>
      <c r="F230" s="6">
        <v>42864</v>
      </c>
      <c r="G230" s="5" t="s">
        <v>364</v>
      </c>
      <c r="H230" s="5" t="s">
        <v>109</v>
      </c>
      <c r="I230" s="5" t="s">
        <v>110</v>
      </c>
      <c r="J230" s="5" t="s">
        <v>0</v>
      </c>
      <c r="K230" s="5" t="s">
        <v>1</v>
      </c>
      <c r="L230" s="5" t="s">
        <v>2</v>
      </c>
      <c r="M230" s="5" t="s">
        <v>915</v>
      </c>
      <c r="N230" s="5" t="s">
        <v>878</v>
      </c>
      <c r="O230" s="5" t="s">
        <v>105</v>
      </c>
      <c r="P230" s="5" t="s">
        <v>9</v>
      </c>
      <c r="XFD230"/>
    </row>
    <row r="231" spans="1:16 16384:16384" s="5" customFormat="1">
      <c r="A231" s="5" t="s">
        <v>911</v>
      </c>
      <c r="B231" s="5" t="s">
        <v>1563</v>
      </c>
      <c r="C231" s="5" t="s">
        <v>1197</v>
      </c>
      <c r="D231" s="5">
        <v>448951</v>
      </c>
      <c r="E231" s="5" t="s">
        <v>65</v>
      </c>
      <c r="F231" s="6">
        <v>42864</v>
      </c>
      <c r="G231" s="5" t="s">
        <v>343</v>
      </c>
      <c r="H231" s="5" t="s">
        <v>109</v>
      </c>
      <c r="I231" s="5" t="s">
        <v>110</v>
      </c>
      <c r="J231" s="5" t="s">
        <v>0</v>
      </c>
      <c r="K231" s="5" t="s">
        <v>1</v>
      </c>
      <c r="L231" s="5" t="s">
        <v>2</v>
      </c>
      <c r="M231" s="5" t="s">
        <v>915</v>
      </c>
      <c r="N231" s="5" t="s">
        <v>879</v>
      </c>
      <c r="O231" s="5" t="s">
        <v>105</v>
      </c>
      <c r="P231" s="5" t="s">
        <v>9</v>
      </c>
      <c r="XFD231"/>
    </row>
    <row r="232" spans="1:16 16384:16384" s="5" customFormat="1">
      <c r="A232" s="5" t="s">
        <v>911</v>
      </c>
      <c r="B232" s="5" t="s">
        <v>1564</v>
      </c>
      <c r="C232" s="5" t="s">
        <v>1197</v>
      </c>
      <c r="D232" s="5">
        <v>448952</v>
      </c>
      <c r="E232" s="5" t="s">
        <v>65</v>
      </c>
      <c r="F232" s="6">
        <v>42864</v>
      </c>
      <c r="G232" s="5" t="s">
        <v>343</v>
      </c>
      <c r="H232" s="5" t="s">
        <v>109</v>
      </c>
      <c r="I232" s="5" t="s">
        <v>110</v>
      </c>
      <c r="J232" s="5" t="s">
        <v>0</v>
      </c>
      <c r="K232" s="5" t="s">
        <v>1</v>
      </c>
      <c r="L232" s="5" t="s">
        <v>2</v>
      </c>
      <c r="M232" s="5" t="s">
        <v>915</v>
      </c>
      <c r="N232" s="5" t="s">
        <v>880</v>
      </c>
      <c r="O232" s="5" t="s">
        <v>105</v>
      </c>
      <c r="P232" s="5" t="s">
        <v>9</v>
      </c>
      <c r="XFD232"/>
    </row>
    <row r="233" spans="1:16 16384:16384" s="5" customFormat="1">
      <c r="A233" s="5" t="s">
        <v>911</v>
      </c>
      <c r="B233" s="5" t="s">
        <v>1565</v>
      </c>
      <c r="C233" s="5" t="s">
        <v>1197</v>
      </c>
      <c r="D233" s="5">
        <v>448953</v>
      </c>
      <c r="E233" s="5" t="s">
        <v>65</v>
      </c>
      <c r="F233" s="6">
        <v>42864</v>
      </c>
      <c r="G233" s="5" t="s">
        <v>343</v>
      </c>
      <c r="H233" s="5" t="s">
        <v>109</v>
      </c>
      <c r="I233" s="5" t="s">
        <v>110</v>
      </c>
      <c r="J233" s="5" t="s">
        <v>0</v>
      </c>
      <c r="K233" s="5" t="s">
        <v>1</v>
      </c>
      <c r="L233" s="5" t="s">
        <v>2</v>
      </c>
      <c r="M233" s="5" t="s">
        <v>915</v>
      </c>
      <c r="N233" s="5" t="s">
        <v>881</v>
      </c>
      <c r="O233" s="5" t="s">
        <v>105</v>
      </c>
      <c r="P233" s="5" t="s">
        <v>9</v>
      </c>
      <c r="XFD233"/>
    </row>
    <row r="234" spans="1:16 16384:16384" s="5" customFormat="1">
      <c r="A234" s="5" t="s">
        <v>911</v>
      </c>
      <c r="B234" s="5" t="s">
        <v>1566</v>
      </c>
      <c r="C234" s="5" t="s">
        <v>1197</v>
      </c>
      <c r="D234" s="5">
        <v>448954</v>
      </c>
      <c r="E234" s="5" t="s">
        <v>212</v>
      </c>
      <c r="F234" s="6">
        <v>42864</v>
      </c>
      <c r="G234" s="5" t="s">
        <v>364</v>
      </c>
      <c r="H234" s="5" t="s">
        <v>109</v>
      </c>
      <c r="I234" s="5" t="s">
        <v>110</v>
      </c>
      <c r="J234" s="5" t="s">
        <v>0</v>
      </c>
      <c r="K234" s="5" t="s">
        <v>1</v>
      </c>
      <c r="L234" s="5" t="s">
        <v>2</v>
      </c>
      <c r="M234" s="5" t="s">
        <v>915</v>
      </c>
      <c r="N234" s="5" t="s">
        <v>882</v>
      </c>
      <c r="O234" s="5" t="s">
        <v>105</v>
      </c>
      <c r="P234" s="5" t="s">
        <v>9</v>
      </c>
      <c r="XFD23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DD932-3A91-B647-AFB0-E667BEFAF61F}">
  <dimension ref="A1:XFD56"/>
  <sheetViews>
    <sheetView workbookViewId="0">
      <selection sqref="A1:XFD1048576"/>
    </sheetView>
  </sheetViews>
  <sheetFormatPr baseColWidth="10" defaultRowHeight="16"/>
  <cols>
    <col min="1" max="1" width="13.1640625" bestFit="1" customWidth="1"/>
    <col min="2" max="2" width="11.5" bestFit="1" customWidth="1"/>
    <col min="3" max="3" width="36.5" bestFit="1" customWidth="1"/>
    <col min="4" max="4" width="10.5" bestFit="1" customWidth="1"/>
    <col min="5" max="5" width="19.5" bestFit="1" customWidth="1"/>
    <col min="6" max="6" width="16.83203125" bestFit="1" customWidth="1"/>
    <col min="7" max="7" width="255.83203125" bestFit="1" customWidth="1"/>
    <col min="8" max="8" width="21.83203125" bestFit="1" customWidth="1"/>
    <col min="9" max="9" width="39" bestFit="1" customWidth="1"/>
    <col min="10" max="10" width="22" bestFit="1" customWidth="1"/>
    <col min="11" max="11" width="15.5" bestFit="1" customWidth="1"/>
    <col min="12" max="12" width="11.6640625" bestFit="1" customWidth="1"/>
    <col min="13" max="13" width="37.6640625" bestFit="1" customWidth="1"/>
    <col min="14" max="14" width="14.83203125" bestFit="1" customWidth="1"/>
    <col min="15" max="15" width="20.33203125" bestFit="1" customWidth="1"/>
    <col min="16" max="16" width="24.5" bestFit="1" customWidth="1"/>
  </cols>
  <sheetData>
    <row r="1" spans="1:16 16384:16384" s="7" customFormat="1">
      <c r="A1" s="7" t="s">
        <v>944</v>
      </c>
      <c r="B1" s="7" t="s">
        <v>1195</v>
      </c>
      <c r="C1" s="7" t="s">
        <v>1193</v>
      </c>
      <c r="D1" s="7" t="s">
        <v>912</v>
      </c>
      <c r="E1" s="7" t="s">
        <v>898</v>
      </c>
      <c r="F1" s="7" t="s">
        <v>899</v>
      </c>
      <c r="G1" s="7" t="s">
        <v>900</v>
      </c>
      <c r="H1" s="7" t="s">
        <v>901</v>
      </c>
      <c r="I1" s="7" t="s">
        <v>902</v>
      </c>
      <c r="J1" s="7" t="s">
        <v>903</v>
      </c>
      <c r="K1" s="7" t="s">
        <v>904</v>
      </c>
      <c r="L1" s="7" t="s">
        <v>905</v>
      </c>
      <c r="M1" s="7" t="s">
        <v>906</v>
      </c>
      <c r="N1" s="7" t="s">
        <v>907</v>
      </c>
      <c r="O1" s="7" t="s">
        <v>908</v>
      </c>
      <c r="P1" s="7" t="s">
        <v>909</v>
      </c>
      <c r="XFD1"/>
    </row>
    <row r="2" spans="1:16 16384:16384" s="5" customFormat="1">
      <c r="A2" s="5" t="s">
        <v>98</v>
      </c>
      <c r="B2" s="5" t="s">
        <v>1567</v>
      </c>
      <c r="C2" s="5" t="s">
        <v>1149</v>
      </c>
      <c r="D2" s="5">
        <v>7814</v>
      </c>
      <c r="E2" s="5" t="s">
        <v>3</v>
      </c>
      <c r="F2" s="6">
        <v>43403</v>
      </c>
      <c r="G2" s="5" t="s">
        <v>916</v>
      </c>
      <c r="H2" s="5" t="s">
        <v>95</v>
      </c>
      <c r="I2" s="5" t="s">
        <v>96</v>
      </c>
      <c r="J2" s="5" t="s">
        <v>0</v>
      </c>
      <c r="K2" s="5" t="s">
        <v>1</v>
      </c>
      <c r="L2" s="5" t="s">
        <v>2</v>
      </c>
      <c r="M2" s="5" t="s">
        <v>917</v>
      </c>
      <c r="N2" s="5" t="s">
        <v>918</v>
      </c>
      <c r="O2" s="5" t="s">
        <v>98</v>
      </c>
      <c r="P2" s="5" t="s">
        <v>9</v>
      </c>
      <c r="XFD2"/>
    </row>
    <row r="3" spans="1:16 16384:16384" s="5" customFormat="1">
      <c r="A3" s="5" t="s">
        <v>98</v>
      </c>
      <c r="B3" s="5" t="s">
        <v>1568</v>
      </c>
      <c r="C3" s="5" t="s">
        <v>1185</v>
      </c>
      <c r="D3" s="5">
        <v>7815</v>
      </c>
      <c r="E3" s="5" t="s">
        <v>24</v>
      </c>
      <c r="F3" s="6">
        <v>43196</v>
      </c>
      <c r="G3" s="5" t="s">
        <v>919</v>
      </c>
      <c r="H3" s="5" t="s">
        <v>95</v>
      </c>
      <c r="I3" s="5" t="s">
        <v>96</v>
      </c>
      <c r="J3" s="5" t="s">
        <v>0</v>
      </c>
      <c r="K3" s="5" t="s">
        <v>1</v>
      </c>
      <c r="L3" s="5" t="s">
        <v>2</v>
      </c>
      <c r="M3" s="5" t="s">
        <v>917</v>
      </c>
      <c r="N3" s="5" t="s">
        <v>920</v>
      </c>
      <c r="O3" s="5" t="s">
        <v>98</v>
      </c>
      <c r="P3" s="5" t="s">
        <v>9</v>
      </c>
      <c r="XFD3"/>
    </row>
    <row r="4" spans="1:16 16384:16384" s="5" customFormat="1">
      <c r="A4" s="5" t="s">
        <v>98</v>
      </c>
      <c r="B4" s="5" t="s">
        <v>1569</v>
      </c>
      <c r="C4" s="5" t="s">
        <v>1173</v>
      </c>
      <c r="D4" s="5">
        <v>7816</v>
      </c>
      <c r="E4" s="5" t="s">
        <v>24</v>
      </c>
      <c r="F4" s="6">
        <v>43196</v>
      </c>
      <c r="G4" s="5" t="s">
        <v>921</v>
      </c>
      <c r="H4" s="5" t="s">
        <v>95</v>
      </c>
      <c r="I4" s="5" t="s">
        <v>96</v>
      </c>
      <c r="J4" s="5" t="s">
        <v>0</v>
      </c>
      <c r="K4" s="5" t="s">
        <v>1</v>
      </c>
      <c r="L4" s="5" t="s">
        <v>2</v>
      </c>
      <c r="M4" s="5" t="s">
        <v>917</v>
      </c>
      <c r="N4" s="5" t="s">
        <v>922</v>
      </c>
      <c r="O4" s="5" t="s">
        <v>98</v>
      </c>
      <c r="P4" s="5" t="s">
        <v>9</v>
      </c>
      <c r="XFD4"/>
    </row>
    <row r="5" spans="1:16 16384:16384" s="5" customFormat="1">
      <c r="A5" s="5" t="s">
        <v>98</v>
      </c>
      <c r="B5" s="5" t="s">
        <v>1570</v>
      </c>
      <c r="C5" s="5" t="s">
        <v>1165</v>
      </c>
      <c r="D5" s="5">
        <v>7823</v>
      </c>
      <c r="E5" s="5" t="s">
        <v>3</v>
      </c>
      <c r="F5" s="6">
        <v>43196</v>
      </c>
      <c r="G5" s="5" t="s">
        <v>923</v>
      </c>
      <c r="H5" s="5" t="s">
        <v>95</v>
      </c>
      <c r="I5" s="5" t="s">
        <v>96</v>
      </c>
      <c r="J5" s="5" t="s">
        <v>0</v>
      </c>
      <c r="K5" s="5" t="s">
        <v>1</v>
      </c>
      <c r="L5" s="5" t="s">
        <v>2</v>
      </c>
      <c r="M5" s="5" t="s">
        <v>917</v>
      </c>
      <c r="N5" s="5" t="s">
        <v>924</v>
      </c>
      <c r="O5" s="5" t="s">
        <v>98</v>
      </c>
      <c r="P5" s="5" t="s">
        <v>9</v>
      </c>
      <c r="XFD5"/>
    </row>
    <row r="6" spans="1:16 16384:16384" s="5" customFormat="1">
      <c r="A6" s="5" t="s">
        <v>98</v>
      </c>
      <c r="B6" s="5" t="s">
        <v>1571</v>
      </c>
      <c r="C6" s="5" t="s">
        <v>1153</v>
      </c>
      <c r="D6" s="5">
        <v>7824</v>
      </c>
      <c r="E6" s="5" t="s">
        <v>3</v>
      </c>
      <c r="F6" s="6">
        <v>43196</v>
      </c>
      <c r="G6" s="5" t="s">
        <v>925</v>
      </c>
      <c r="H6" s="5" t="s">
        <v>95</v>
      </c>
      <c r="I6" s="5" t="s">
        <v>96</v>
      </c>
      <c r="J6" s="5" t="s">
        <v>0</v>
      </c>
      <c r="K6" s="5" t="s">
        <v>1</v>
      </c>
      <c r="L6" s="5" t="s">
        <v>2</v>
      </c>
      <c r="M6" s="5" t="s">
        <v>917</v>
      </c>
      <c r="N6" s="5" t="s">
        <v>926</v>
      </c>
      <c r="O6" s="5" t="s">
        <v>98</v>
      </c>
      <c r="P6" s="5" t="s">
        <v>9</v>
      </c>
      <c r="XFD6"/>
    </row>
    <row r="7" spans="1:16 16384:16384" s="5" customFormat="1">
      <c r="A7" s="5" t="s">
        <v>98</v>
      </c>
      <c r="B7" s="5" t="s">
        <v>1572</v>
      </c>
      <c r="C7" s="5" t="s">
        <v>1177</v>
      </c>
      <c r="D7" s="5">
        <v>7828</v>
      </c>
      <c r="E7" s="5" t="s">
        <v>3</v>
      </c>
      <c r="F7" s="6">
        <v>43196</v>
      </c>
      <c r="G7" s="5" t="s">
        <v>927</v>
      </c>
      <c r="H7" s="5" t="s">
        <v>95</v>
      </c>
      <c r="I7" s="5" t="s">
        <v>96</v>
      </c>
      <c r="J7" s="5" t="s">
        <v>0</v>
      </c>
      <c r="K7" s="5" t="s">
        <v>1</v>
      </c>
      <c r="L7" s="5" t="s">
        <v>2</v>
      </c>
      <c r="M7" s="5" t="s">
        <v>917</v>
      </c>
      <c r="N7" s="5" t="s">
        <v>928</v>
      </c>
      <c r="O7" s="5" t="s">
        <v>98</v>
      </c>
      <c r="P7" s="5" t="s">
        <v>9</v>
      </c>
      <c r="XFD7"/>
    </row>
    <row r="8" spans="1:16 16384:16384" s="5" customFormat="1">
      <c r="A8" s="5" t="s">
        <v>98</v>
      </c>
      <c r="B8" s="5" t="s">
        <v>1573</v>
      </c>
      <c r="C8" s="5" t="s">
        <v>1068</v>
      </c>
      <c r="D8" s="5">
        <v>7829</v>
      </c>
      <c r="E8" s="5" t="s">
        <v>3</v>
      </c>
      <c r="F8" s="6">
        <v>43026</v>
      </c>
      <c r="G8" s="5" t="s">
        <v>94</v>
      </c>
      <c r="H8" s="5" t="s">
        <v>95</v>
      </c>
      <c r="I8" s="5" t="s">
        <v>96</v>
      </c>
      <c r="J8" s="5" t="s">
        <v>0</v>
      </c>
      <c r="K8" s="5" t="s">
        <v>1</v>
      </c>
      <c r="L8" s="5" t="s">
        <v>2</v>
      </c>
      <c r="M8" s="5" t="s">
        <v>917</v>
      </c>
      <c r="N8" s="5" t="s">
        <v>97</v>
      </c>
      <c r="O8" s="5" t="s">
        <v>98</v>
      </c>
      <c r="P8" s="5" t="s">
        <v>9</v>
      </c>
      <c r="XFD8"/>
    </row>
    <row r="9" spans="1:16 16384:16384" s="5" customFormat="1">
      <c r="A9" s="5" t="s">
        <v>98</v>
      </c>
      <c r="B9" s="5" t="s">
        <v>1574</v>
      </c>
      <c r="C9" s="5" t="s">
        <v>1140</v>
      </c>
      <c r="D9" s="5">
        <v>7831</v>
      </c>
      <c r="E9" s="5" t="s">
        <v>24</v>
      </c>
      <c r="F9" s="6">
        <v>43196</v>
      </c>
      <c r="G9" s="5" t="s">
        <v>929</v>
      </c>
      <c r="H9" s="5" t="s">
        <v>95</v>
      </c>
      <c r="I9" s="5" t="s">
        <v>96</v>
      </c>
      <c r="J9" s="5" t="s">
        <v>0</v>
      </c>
      <c r="K9" s="5" t="s">
        <v>1</v>
      </c>
      <c r="L9" s="5" t="s">
        <v>2</v>
      </c>
      <c r="M9" s="5" t="s">
        <v>917</v>
      </c>
      <c r="N9" s="5" t="s">
        <v>930</v>
      </c>
      <c r="O9" s="5" t="s">
        <v>98</v>
      </c>
      <c r="P9" s="5" t="s">
        <v>9</v>
      </c>
      <c r="XFD9"/>
    </row>
    <row r="10" spans="1:16 16384:16384" s="5" customFormat="1">
      <c r="A10" s="5" t="s">
        <v>98</v>
      </c>
      <c r="B10" s="5" t="s">
        <v>1575</v>
      </c>
      <c r="C10" s="5" t="s">
        <v>1157</v>
      </c>
      <c r="D10" s="5">
        <v>7834</v>
      </c>
      <c r="E10" s="5" t="s">
        <v>3</v>
      </c>
      <c r="F10" s="6">
        <v>43196</v>
      </c>
      <c r="G10" s="5" t="s">
        <v>931</v>
      </c>
      <c r="H10" s="5" t="s">
        <v>95</v>
      </c>
      <c r="I10" s="5" t="s">
        <v>96</v>
      </c>
      <c r="J10" s="5" t="s">
        <v>0</v>
      </c>
      <c r="K10" s="5" t="s">
        <v>1</v>
      </c>
      <c r="L10" s="5" t="s">
        <v>2</v>
      </c>
      <c r="M10" s="5" t="s">
        <v>917</v>
      </c>
      <c r="N10" s="5" t="s">
        <v>932</v>
      </c>
      <c r="O10" s="5" t="s">
        <v>98</v>
      </c>
      <c r="P10" s="5" t="s">
        <v>9</v>
      </c>
      <c r="XFD10"/>
    </row>
    <row r="11" spans="1:16 16384:16384" s="5" customFormat="1">
      <c r="A11" s="5" t="s">
        <v>98</v>
      </c>
      <c r="B11" s="5" t="s">
        <v>1576</v>
      </c>
      <c r="C11" s="5" t="s">
        <v>1072</v>
      </c>
      <c r="D11" s="5">
        <v>7844</v>
      </c>
      <c r="E11" s="5" t="s">
        <v>86</v>
      </c>
      <c r="F11" s="6">
        <v>43196</v>
      </c>
      <c r="G11" s="5" t="s">
        <v>99</v>
      </c>
      <c r="H11" s="5" t="s">
        <v>95</v>
      </c>
      <c r="I11" s="5" t="s">
        <v>96</v>
      </c>
      <c r="J11" s="5" t="s">
        <v>0</v>
      </c>
      <c r="K11" s="5" t="s">
        <v>1</v>
      </c>
      <c r="L11" s="5" t="s">
        <v>2</v>
      </c>
      <c r="M11" s="5" t="s">
        <v>917</v>
      </c>
      <c r="N11" s="5" t="s">
        <v>100</v>
      </c>
      <c r="O11" s="5" t="s">
        <v>98</v>
      </c>
      <c r="P11" s="5" t="s">
        <v>9</v>
      </c>
      <c r="XFD11"/>
    </row>
    <row r="12" spans="1:16 16384:16384" s="5" customFormat="1">
      <c r="A12" s="5" t="s">
        <v>98</v>
      </c>
      <c r="B12" s="5" t="s">
        <v>1577</v>
      </c>
      <c r="C12" s="5" t="s">
        <v>1064</v>
      </c>
      <c r="D12" s="5">
        <v>41682</v>
      </c>
      <c r="E12" s="5" t="s">
        <v>212</v>
      </c>
      <c r="F12" s="6">
        <v>43196</v>
      </c>
      <c r="G12" s="5" t="s">
        <v>377</v>
      </c>
      <c r="H12" s="5" t="s">
        <v>95</v>
      </c>
      <c r="I12" s="5" t="s">
        <v>96</v>
      </c>
      <c r="J12" s="5" t="s">
        <v>0</v>
      </c>
      <c r="K12" s="5" t="s">
        <v>1</v>
      </c>
      <c r="L12" s="5" t="s">
        <v>2</v>
      </c>
      <c r="M12" s="5" t="s">
        <v>917</v>
      </c>
      <c r="N12" s="5" t="s">
        <v>378</v>
      </c>
      <c r="O12" s="5" t="s">
        <v>98</v>
      </c>
      <c r="P12" s="5" t="s">
        <v>9</v>
      </c>
      <c r="XFD12"/>
    </row>
    <row r="13" spans="1:16 16384:16384" s="5" customFormat="1">
      <c r="A13" s="5" t="s">
        <v>98</v>
      </c>
      <c r="B13" s="5" t="s">
        <v>1578</v>
      </c>
      <c r="C13" s="5" t="s">
        <v>1112</v>
      </c>
      <c r="D13" s="5">
        <v>92808</v>
      </c>
      <c r="E13" s="5" t="s">
        <v>65</v>
      </c>
      <c r="F13" s="6">
        <v>42683</v>
      </c>
      <c r="G13" s="5" t="s">
        <v>586</v>
      </c>
      <c r="H13" s="5" t="s">
        <v>95</v>
      </c>
      <c r="I13" s="5" t="s">
        <v>96</v>
      </c>
      <c r="J13" s="5" t="s">
        <v>0</v>
      </c>
      <c r="K13" s="5" t="s">
        <v>1</v>
      </c>
      <c r="L13" s="5" t="s">
        <v>2</v>
      </c>
      <c r="M13" s="5" t="s">
        <v>917</v>
      </c>
      <c r="N13" s="5" t="s">
        <v>587</v>
      </c>
      <c r="O13" s="5" t="s">
        <v>98</v>
      </c>
      <c r="P13" s="5" t="s">
        <v>9</v>
      </c>
      <c r="XFD13"/>
    </row>
    <row r="14" spans="1:16 16384:16384" s="5" customFormat="1">
      <c r="A14" s="5" t="s">
        <v>98</v>
      </c>
      <c r="B14" s="5" t="s">
        <v>1579</v>
      </c>
      <c r="C14" s="5" t="s">
        <v>1116</v>
      </c>
      <c r="D14" s="5">
        <v>92810</v>
      </c>
      <c r="E14" s="5" t="s">
        <v>65</v>
      </c>
      <c r="F14" s="6">
        <v>42627</v>
      </c>
      <c r="G14" s="5" t="s">
        <v>588</v>
      </c>
      <c r="H14" s="5" t="s">
        <v>95</v>
      </c>
      <c r="I14" s="5" t="s">
        <v>96</v>
      </c>
      <c r="J14" s="5" t="s">
        <v>0</v>
      </c>
      <c r="K14" s="5" t="s">
        <v>1</v>
      </c>
      <c r="L14" s="5" t="s">
        <v>2</v>
      </c>
      <c r="M14" s="5" t="s">
        <v>917</v>
      </c>
      <c r="N14" s="5" t="s">
        <v>589</v>
      </c>
      <c r="O14" s="5" t="s">
        <v>98</v>
      </c>
      <c r="P14" s="5" t="s">
        <v>9</v>
      </c>
      <c r="XFD14"/>
    </row>
    <row r="15" spans="1:16 16384:16384" s="5" customFormat="1">
      <c r="A15" s="5" t="s">
        <v>98</v>
      </c>
      <c r="B15" s="5" t="s">
        <v>1580</v>
      </c>
      <c r="C15" s="5" t="s">
        <v>1120</v>
      </c>
      <c r="D15" s="5">
        <v>92813</v>
      </c>
      <c r="E15" s="5" t="s">
        <v>212</v>
      </c>
      <c r="F15" s="6">
        <v>42683</v>
      </c>
      <c r="G15" s="5" t="s">
        <v>590</v>
      </c>
      <c r="H15" s="5" t="s">
        <v>95</v>
      </c>
      <c r="I15" s="5" t="s">
        <v>96</v>
      </c>
      <c r="J15" s="5" t="s">
        <v>0</v>
      </c>
      <c r="K15" s="5" t="s">
        <v>1</v>
      </c>
      <c r="L15" s="5" t="s">
        <v>2</v>
      </c>
      <c r="M15" s="5" t="s">
        <v>917</v>
      </c>
      <c r="N15" s="5" t="s">
        <v>591</v>
      </c>
      <c r="O15" s="5" t="s">
        <v>98</v>
      </c>
      <c r="P15" s="5" t="s">
        <v>9</v>
      </c>
      <c r="XFD15"/>
    </row>
    <row r="16" spans="1:16 16384:16384" s="5" customFormat="1">
      <c r="A16" s="5" t="s">
        <v>98</v>
      </c>
      <c r="B16" s="5" t="s">
        <v>1581</v>
      </c>
      <c r="C16" s="5" t="s">
        <v>1124</v>
      </c>
      <c r="D16" s="5">
        <v>92816</v>
      </c>
      <c r="E16" s="5" t="s">
        <v>3</v>
      </c>
      <c r="F16" s="6">
        <v>43087</v>
      </c>
      <c r="G16" s="5" t="s">
        <v>592</v>
      </c>
      <c r="H16" s="5" t="s">
        <v>95</v>
      </c>
      <c r="I16" s="5" t="s">
        <v>96</v>
      </c>
      <c r="J16" s="5" t="s">
        <v>0</v>
      </c>
      <c r="K16" s="5" t="s">
        <v>1</v>
      </c>
      <c r="L16" s="5" t="s">
        <v>2</v>
      </c>
      <c r="M16" s="5" t="s">
        <v>917</v>
      </c>
      <c r="N16" s="5" t="s">
        <v>593</v>
      </c>
      <c r="O16" s="5" t="s">
        <v>98</v>
      </c>
      <c r="P16" s="5" t="s">
        <v>9</v>
      </c>
      <c r="XFD16"/>
    </row>
    <row r="17" spans="1:16 16384:16384" s="5" customFormat="1">
      <c r="A17" s="5" t="s">
        <v>98</v>
      </c>
      <c r="B17" s="5" t="s">
        <v>1582</v>
      </c>
      <c r="C17" s="5" t="s">
        <v>1128</v>
      </c>
      <c r="D17" s="5">
        <v>92818</v>
      </c>
      <c r="E17" s="5" t="s">
        <v>212</v>
      </c>
      <c r="F17" s="6">
        <v>42718</v>
      </c>
      <c r="G17" s="5" t="s">
        <v>594</v>
      </c>
      <c r="H17" s="5" t="s">
        <v>95</v>
      </c>
      <c r="I17" s="5" t="s">
        <v>96</v>
      </c>
      <c r="J17" s="5" t="s">
        <v>0</v>
      </c>
      <c r="K17" s="5" t="s">
        <v>1</v>
      </c>
      <c r="L17" s="5" t="s">
        <v>2</v>
      </c>
      <c r="M17" s="5" t="s">
        <v>917</v>
      </c>
      <c r="N17" s="5" t="s">
        <v>595</v>
      </c>
      <c r="O17" s="5" t="s">
        <v>98</v>
      </c>
      <c r="P17" s="5" t="s">
        <v>9</v>
      </c>
      <c r="XFD17"/>
    </row>
    <row r="18" spans="1:16 16384:16384" s="5" customFormat="1">
      <c r="A18" s="5" t="s">
        <v>98</v>
      </c>
      <c r="B18" s="5" t="s">
        <v>1583</v>
      </c>
      <c r="C18" s="5" t="s">
        <v>1145</v>
      </c>
      <c r="D18" s="5">
        <v>92822</v>
      </c>
      <c r="E18" s="5" t="s">
        <v>24</v>
      </c>
      <c r="F18" s="6">
        <v>43196</v>
      </c>
      <c r="G18" s="5" t="s">
        <v>934</v>
      </c>
      <c r="H18" s="5" t="s">
        <v>95</v>
      </c>
      <c r="I18" s="5" t="s">
        <v>96</v>
      </c>
      <c r="J18" s="5" t="s">
        <v>0</v>
      </c>
      <c r="K18" s="5" t="s">
        <v>1</v>
      </c>
      <c r="L18" s="5" t="s">
        <v>2</v>
      </c>
      <c r="M18" s="5" t="s">
        <v>917</v>
      </c>
      <c r="N18" s="5" t="s">
        <v>935</v>
      </c>
      <c r="O18" s="5" t="s">
        <v>98</v>
      </c>
      <c r="P18" s="5" t="s">
        <v>9</v>
      </c>
      <c r="XFD18"/>
    </row>
    <row r="19" spans="1:16 16384:16384" s="5" customFormat="1">
      <c r="A19" s="5" t="s">
        <v>98</v>
      </c>
      <c r="B19" s="5" t="s">
        <v>1584</v>
      </c>
      <c r="C19" s="5" t="s">
        <v>1132</v>
      </c>
      <c r="D19" s="5">
        <v>92827</v>
      </c>
      <c r="E19" s="5" t="s">
        <v>65</v>
      </c>
      <c r="F19" s="6">
        <v>42627</v>
      </c>
      <c r="G19" s="5" t="s">
        <v>596</v>
      </c>
      <c r="H19" s="5" t="s">
        <v>95</v>
      </c>
      <c r="I19" s="5" t="s">
        <v>96</v>
      </c>
      <c r="J19" s="5" t="s">
        <v>0</v>
      </c>
      <c r="K19" s="5" t="s">
        <v>1</v>
      </c>
      <c r="L19" s="5" t="s">
        <v>2</v>
      </c>
      <c r="M19" s="5" t="s">
        <v>917</v>
      </c>
      <c r="N19" s="5" t="s">
        <v>597</v>
      </c>
      <c r="O19" s="5" t="s">
        <v>98</v>
      </c>
      <c r="P19" s="5" t="s">
        <v>9</v>
      </c>
      <c r="XFD19"/>
    </row>
    <row r="20" spans="1:16 16384:16384" s="5" customFormat="1">
      <c r="A20" s="5" t="s">
        <v>98</v>
      </c>
      <c r="B20" s="5" t="s">
        <v>1585</v>
      </c>
      <c r="C20" s="5" t="s">
        <v>1136</v>
      </c>
      <c r="D20" s="5">
        <v>92829</v>
      </c>
      <c r="E20" s="5" t="s">
        <v>212</v>
      </c>
      <c r="F20" s="6">
        <v>43369</v>
      </c>
      <c r="G20" s="5" t="s">
        <v>598</v>
      </c>
      <c r="H20" s="5" t="s">
        <v>95</v>
      </c>
      <c r="I20" s="5" t="s">
        <v>96</v>
      </c>
      <c r="J20" s="5" t="s">
        <v>0</v>
      </c>
      <c r="K20" s="5" t="s">
        <v>1</v>
      </c>
      <c r="L20" s="5" t="s">
        <v>2</v>
      </c>
      <c r="M20" s="5" t="s">
        <v>917</v>
      </c>
      <c r="N20" s="5" t="s">
        <v>599</v>
      </c>
      <c r="O20" s="5" t="s">
        <v>98</v>
      </c>
      <c r="P20" s="5" t="s">
        <v>9</v>
      </c>
      <c r="XFD20"/>
    </row>
    <row r="21" spans="1:16 16384:16384" s="5" customFormat="1">
      <c r="A21" s="5" t="s">
        <v>98</v>
      </c>
      <c r="B21" s="5" t="s">
        <v>1586</v>
      </c>
      <c r="C21" s="5" t="s">
        <v>1161</v>
      </c>
      <c r="D21" s="5">
        <v>127661</v>
      </c>
      <c r="E21" s="5" t="s">
        <v>212</v>
      </c>
      <c r="F21" s="6">
        <v>43196</v>
      </c>
      <c r="G21" s="5" t="s">
        <v>936</v>
      </c>
      <c r="H21" s="5" t="s">
        <v>95</v>
      </c>
      <c r="I21" s="5" t="s">
        <v>96</v>
      </c>
      <c r="J21" s="5" t="s">
        <v>0</v>
      </c>
      <c r="K21" s="5" t="s">
        <v>1</v>
      </c>
      <c r="L21" s="5" t="s">
        <v>2</v>
      </c>
      <c r="M21" s="5" t="s">
        <v>917</v>
      </c>
      <c r="N21" s="5" t="s">
        <v>937</v>
      </c>
      <c r="O21" s="5" t="s">
        <v>98</v>
      </c>
      <c r="P21" s="5" t="s">
        <v>9</v>
      </c>
      <c r="XFD21"/>
    </row>
    <row r="22" spans="1:16 16384:16384" s="5" customFormat="1">
      <c r="A22" s="5" t="s">
        <v>98</v>
      </c>
      <c r="B22" s="5" t="s">
        <v>1587</v>
      </c>
      <c r="C22" s="5" t="s">
        <v>965</v>
      </c>
      <c r="D22" s="5">
        <v>127662</v>
      </c>
      <c r="E22" s="5" t="s">
        <v>86</v>
      </c>
      <c r="F22" s="6">
        <v>43047</v>
      </c>
      <c r="G22" s="5" t="s">
        <v>674</v>
      </c>
      <c r="H22" s="5" t="s">
        <v>95</v>
      </c>
      <c r="I22" s="5" t="s">
        <v>96</v>
      </c>
      <c r="J22" s="5" t="s">
        <v>0</v>
      </c>
      <c r="K22" s="5" t="s">
        <v>1</v>
      </c>
      <c r="L22" s="5" t="s">
        <v>2</v>
      </c>
      <c r="M22" s="5" t="s">
        <v>917</v>
      </c>
      <c r="N22" s="5" t="s">
        <v>675</v>
      </c>
      <c r="O22" s="5" t="s">
        <v>98</v>
      </c>
      <c r="P22" s="5" t="s">
        <v>9</v>
      </c>
      <c r="XFD22"/>
    </row>
    <row r="23" spans="1:16 16384:16384" s="5" customFormat="1">
      <c r="A23" s="5" t="s">
        <v>98</v>
      </c>
      <c r="B23" s="5" t="s">
        <v>1588</v>
      </c>
      <c r="C23" s="5" t="s">
        <v>974</v>
      </c>
      <c r="D23" s="5">
        <v>127667</v>
      </c>
      <c r="E23" s="5" t="s">
        <v>65</v>
      </c>
      <c r="F23" s="6">
        <v>42888</v>
      </c>
      <c r="G23" s="5" t="s">
        <v>676</v>
      </c>
      <c r="H23" s="5" t="s">
        <v>95</v>
      </c>
      <c r="I23" s="5" t="s">
        <v>96</v>
      </c>
      <c r="J23" s="5" t="s">
        <v>0</v>
      </c>
      <c r="K23" s="5" t="s">
        <v>1</v>
      </c>
      <c r="L23" s="5" t="s">
        <v>2</v>
      </c>
      <c r="M23" s="5" t="s">
        <v>917</v>
      </c>
      <c r="N23" s="5" t="s">
        <v>677</v>
      </c>
      <c r="O23" s="5" t="s">
        <v>98</v>
      </c>
      <c r="P23" s="5" t="s">
        <v>9</v>
      </c>
      <c r="XFD23"/>
    </row>
    <row r="24" spans="1:16 16384:16384" s="5" customFormat="1">
      <c r="A24" s="5" t="s">
        <v>98</v>
      </c>
      <c r="B24" s="5" t="s">
        <v>1589</v>
      </c>
      <c r="C24" s="5" t="s">
        <v>1189</v>
      </c>
      <c r="D24" s="5">
        <v>127674</v>
      </c>
      <c r="E24" s="5" t="s">
        <v>86</v>
      </c>
      <c r="F24" s="6">
        <v>43196</v>
      </c>
      <c r="G24" s="5" t="s">
        <v>938</v>
      </c>
      <c r="H24" s="5" t="s">
        <v>95</v>
      </c>
      <c r="I24" s="5" t="s">
        <v>96</v>
      </c>
      <c r="J24" s="5" t="s">
        <v>0</v>
      </c>
      <c r="K24" s="5" t="s">
        <v>1</v>
      </c>
      <c r="L24" s="5" t="s">
        <v>2</v>
      </c>
      <c r="M24" s="5" t="s">
        <v>917</v>
      </c>
      <c r="N24" s="5" t="s">
        <v>939</v>
      </c>
      <c r="O24" s="5" t="s">
        <v>98</v>
      </c>
      <c r="P24" s="5" t="s">
        <v>9</v>
      </c>
      <c r="XFD24"/>
    </row>
    <row r="25" spans="1:16 16384:16384" s="5" customFormat="1">
      <c r="A25" s="5" t="s">
        <v>98</v>
      </c>
      <c r="B25" s="5" t="s">
        <v>1590</v>
      </c>
      <c r="C25" s="5" t="s">
        <v>978</v>
      </c>
      <c r="D25" s="5">
        <v>127687</v>
      </c>
      <c r="E25" s="5" t="s">
        <v>86</v>
      </c>
      <c r="F25" s="6">
        <v>43047</v>
      </c>
      <c r="G25" s="5" t="s">
        <v>678</v>
      </c>
      <c r="H25" s="5" t="s">
        <v>95</v>
      </c>
      <c r="I25" s="5" t="s">
        <v>96</v>
      </c>
      <c r="J25" s="5" t="s">
        <v>0</v>
      </c>
      <c r="K25" s="5" t="s">
        <v>1</v>
      </c>
      <c r="L25" s="5" t="s">
        <v>2</v>
      </c>
      <c r="M25" s="5" t="s">
        <v>917</v>
      </c>
      <c r="N25" s="5" t="s">
        <v>679</v>
      </c>
      <c r="O25" s="5" t="s">
        <v>98</v>
      </c>
      <c r="P25" s="5" t="s">
        <v>9</v>
      </c>
      <c r="XFD25"/>
    </row>
    <row r="26" spans="1:16 16384:16384" s="5" customFormat="1">
      <c r="A26" s="5" t="s">
        <v>98</v>
      </c>
      <c r="B26" s="5" t="s">
        <v>1591</v>
      </c>
      <c r="C26" s="5" t="s">
        <v>1076</v>
      </c>
      <c r="D26" s="5">
        <v>138835</v>
      </c>
      <c r="E26" s="5" t="s">
        <v>212</v>
      </c>
      <c r="F26" s="6">
        <v>42627</v>
      </c>
      <c r="G26" s="5" t="s">
        <v>690</v>
      </c>
      <c r="H26" s="5" t="s">
        <v>95</v>
      </c>
      <c r="I26" s="5" t="s">
        <v>96</v>
      </c>
      <c r="J26" s="5" t="s">
        <v>0</v>
      </c>
      <c r="K26" s="5" t="s">
        <v>1</v>
      </c>
      <c r="L26" s="5" t="s">
        <v>2</v>
      </c>
      <c r="M26" s="5" t="s">
        <v>917</v>
      </c>
      <c r="N26" s="5" t="s">
        <v>691</v>
      </c>
      <c r="O26" s="5" t="s">
        <v>98</v>
      </c>
      <c r="P26" s="5" t="s">
        <v>9</v>
      </c>
      <c r="XFD26"/>
    </row>
    <row r="27" spans="1:16 16384:16384" s="5" customFormat="1">
      <c r="A27" s="5" t="s">
        <v>98</v>
      </c>
      <c r="B27" s="5" t="s">
        <v>1592</v>
      </c>
      <c r="C27" s="5" t="s">
        <v>1080</v>
      </c>
      <c r="D27" s="5">
        <v>138836</v>
      </c>
      <c r="E27" s="5" t="s">
        <v>212</v>
      </c>
      <c r="F27" s="6">
        <v>42683</v>
      </c>
      <c r="G27" s="5" t="s">
        <v>692</v>
      </c>
      <c r="H27" s="5" t="s">
        <v>95</v>
      </c>
      <c r="I27" s="5" t="s">
        <v>96</v>
      </c>
      <c r="J27" s="5" t="s">
        <v>0</v>
      </c>
      <c r="K27" s="5" t="s">
        <v>1</v>
      </c>
      <c r="L27" s="5" t="s">
        <v>2</v>
      </c>
      <c r="M27" s="5" t="s">
        <v>917</v>
      </c>
      <c r="N27" s="5" t="s">
        <v>693</v>
      </c>
      <c r="O27" s="5" t="s">
        <v>98</v>
      </c>
      <c r="P27" s="5" t="s">
        <v>9</v>
      </c>
      <c r="XFD27"/>
    </row>
    <row r="28" spans="1:16 16384:16384" s="5" customFormat="1">
      <c r="A28" s="5" t="s">
        <v>98</v>
      </c>
      <c r="B28" s="5" t="s">
        <v>1593</v>
      </c>
      <c r="C28" s="5" t="s">
        <v>1084</v>
      </c>
      <c r="D28" s="5">
        <v>138837</v>
      </c>
      <c r="E28" s="5" t="s">
        <v>65</v>
      </c>
      <c r="F28" s="6">
        <v>42627</v>
      </c>
      <c r="G28" s="5" t="s">
        <v>694</v>
      </c>
      <c r="H28" s="5" t="s">
        <v>95</v>
      </c>
      <c r="I28" s="5" t="s">
        <v>96</v>
      </c>
      <c r="J28" s="5" t="s">
        <v>0</v>
      </c>
      <c r="K28" s="5" t="s">
        <v>1</v>
      </c>
      <c r="L28" s="5" t="s">
        <v>2</v>
      </c>
      <c r="M28" s="5" t="s">
        <v>917</v>
      </c>
      <c r="N28" s="5" t="s">
        <v>695</v>
      </c>
      <c r="O28" s="5" t="s">
        <v>98</v>
      </c>
      <c r="P28" s="5" t="s">
        <v>9</v>
      </c>
      <c r="XFD28"/>
    </row>
    <row r="29" spans="1:16 16384:16384" s="5" customFormat="1">
      <c r="A29" s="5" t="s">
        <v>98</v>
      </c>
      <c r="B29" s="5" t="s">
        <v>1594</v>
      </c>
      <c r="C29" s="5" t="s">
        <v>1088</v>
      </c>
      <c r="D29" s="5">
        <v>141485</v>
      </c>
      <c r="E29" s="5" t="s">
        <v>3</v>
      </c>
      <c r="F29" s="6">
        <v>43026</v>
      </c>
      <c r="G29" s="5" t="s">
        <v>704</v>
      </c>
      <c r="H29" s="5" t="s">
        <v>95</v>
      </c>
      <c r="I29" s="5" t="s">
        <v>96</v>
      </c>
      <c r="J29" s="5" t="s">
        <v>0</v>
      </c>
      <c r="K29" s="5" t="s">
        <v>1</v>
      </c>
      <c r="L29" s="5" t="s">
        <v>2</v>
      </c>
      <c r="M29" s="5" t="s">
        <v>917</v>
      </c>
      <c r="N29" s="5" t="s">
        <v>705</v>
      </c>
      <c r="O29" s="5" t="s">
        <v>98</v>
      </c>
      <c r="P29" s="5" t="s">
        <v>9</v>
      </c>
      <c r="XFD29"/>
    </row>
    <row r="30" spans="1:16 16384:16384" s="5" customFormat="1">
      <c r="A30" s="5" t="s">
        <v>98</v>
      </c>
      <c r="B30" s="5" t="s">
        <v>1595</v>
      </c>
      <c r="C30" s="5" t="s">
        <v>1092</v>
      </c>
      <c r="D30" s="5">
        <v>141654</v>
      </c>
      <c r="E30" s="5" t="s">
        <v>3</v>
      </c>
      <c r="F30" s="6">
        <v>43026</v>
      </c>
      <c r="G30" s="5" t="s">
        <v>706</v>
      </c>
      <c r="H30" s="5" t="s">
        <v>95</v>
      </c>
      <c r="I30" s="5" t="s">
        <v>96</v>
      </c>
      <c r="J30" s="5" t="s">
        <v>0</v>
      </c>
      <c r="K30" s="5" t="s">
        <v>1</v>
      </c>
      <c r="L30" s="5" t="s">
        <v>2</v>
      </c>
      <c r="M30" s="5" t="s">
        <v>917</v>
      </c>
      <c r="N30" s="5" t="s">
        <v>707</v>
      </c>
      <c r="O30" s="5" t="s">
        <v>98</v>
      </c>
      <c r="P30" s="5" t="s">
        <v>9</v>
      </c>
      <c r="XFD30"/>
    </row>
    <row r="31" spans="1:16 16384:16384" s="5" customFormat="1">
      <c r="A31" s="5" t="s">
        <v>98</v>
      </c>
      <c r="B31" s="5" t="s">
        <v>1596</v>
      </c>
      <c r="C31" s="5" t="s">
        <v>1169</v>
      </c>
      <c r="D31" s="5">
        <v>142220</v>
      </c>
      <c r="E31" s="5" t="s">
        <v>24</v>
      </c>
      <c r="F31" s="6">
        <v>43196</v>
      </c>
      <c r="G31" s="5" t="s">
        <v>940</v>
      </c>
      <c r="H31" s="5" t="s">
        <v>95</v>
      </c>
      <c r="I31" s="5" t="s">
        <v>96</v>
      </c>
      <c r="J31" s="5" t="s">
        <v>0</v>
      </c>
      <c r="K31" s="5" t="s">
        <v>1</v>
      </c>
      <c r="L31" s="5" t="s">
        <v>2</v>
      </c>
      <c r="M31" s="5" t="s">
        <v>917</v>
      </c>
      <c r="N31" s="5" t="s">
        <v>941</v>
      </c>
      <c r="O31" s="5" t="s">
        <v>98</v>
      </c>
      <c r="P31" s="5" t="s">
        <v>9</v>
      </c>
      <c r="XFD31"/>
    </row>
    <row r="32" spans="1:16 16384:16384" s="5" customFormat="1">
      <c r="A32" s="5" t="s">
        <v>98</v>
      </c>
      <c r="B32" s="5" t="s">
        <v>1597</v>
      </c>
      <c r="C32" s="5" t="s">
        <v>1096</v>
      </c>
      <c r="D32" s="5">
        <v>142269</v>
      </c>
      <c r="E32" s="5" t="s">
        <v>3</v>
      </c>
      <c r="F32" s="6">
        <v>43026</v>
      </c>
      <c r="G32" s="5" t="s">
        <v>708</v>
      </c>
      <c r="H32" s="5" t="s">
        <v>95</v>
      </c>
      <c r="I32" s="5" t="s">
        <v>96</v>
      </c>
      <c r="J32" s="5" t="s">
        <v>0</v>
      </c>
      <c r="K32" s="5" t="s">
        <v>1</v>
      </c>
      <c r="L32" s="5" t="s">
        <v>2</v>
      </c>
      <c r="M32" s="5" t="s">
        <v>917</v>
      </c>
      <c r="N32" s="5" t="s">
        <v>709</v>
      </c>
      <c r="O32" s="5" t="s">
        <v>98</v>
      </c>
      <c r="P32" s="5" t="s">
        <v>9</v>
      </c>
      <c r="XFD32"/>
    </row>
    <row r="33" spans="1:16 16384:16384" s="5" customFormat="1">
      <c r="A33" s="5" t="s">
        <v>98</v>
      </c>
      <c r="B33" s="5" t="s">
        <v>1598</v>
      </c>
      <c r="C33" s="5" t="s">
        <v>1100</v>
      </c>
      <c r="D33" s="5">
        <v>142423</v>
      </c>
      <c r="E33" s="5" t="s">
        <v>3</v>
      </c>
      <c r="F33" s="6">
        <v>43026</v>
      </c>
      <c r="G33" s="5" t="s">
        <v>710</v>
      </c>
      <c r="H33" s="5" t="s">
        <v>95</v>
      </c>
      <c r="I33" s="5" t="s">
        <v>96</v>
      </c>
      <c r="J33" s="5" t="s">
        <v>0</v>
      </c>
      <c r="K33" s="5" t="s">
        <v>1</v>
      </c>
      <c r="L33" s="5" t="s">
        <v>2</v>
      </c>
      <c r="M33" s="5" t="s">
        <v>917</v>
      </c>
      <c r="N33" s="5" t="s">
        <v>711</v>
      </c>
      <c r="O33" s="5" t="s">
        <v>98</v>
      </c>
      <c r="P33" s="5" t="s">
        <v>9</v>
      </c>
      <c r="XFD33"/>
    </row>
    <row r="34" spans="1:16 16384:16384" s="5" customFormat="1">
      <c r="A34" s="5" t="s">
        <v>98</v>
      </c>
      <c r="B34" s="5" t="s">
        <v>1599</v>
      </c>
      <c r="C34" s="5" t="s">
        <v>1104</v>
      </c>
      <c r="D34" s="5">
        <v>142681</v>
      </c>
      <c r="E34" s="5" t="s">
        <v>86</v>
      </c>
      <c r="F34" s="6">
        <v>43047</v>
      </c>
      <c r="G34" s="5" t="s">
        <v>712</v>
      </c>
      <c r="H34" s="5" t="s">
        <v>95</v>
      </c>
      <c r="I34" s="5" t="s">
        <v>96</v>
      </c>
      <c r="J34" s="5" t="s">
        <v>0</v>
      </c>
      <c r="K34" s="5" t="s">
        <v>1</v>
      </c>
      <c r="L34" s="5" t="s">
        <v>2</v>
      </c>
      <c r="M34" s="5" t="s">
        <v>917</v>
      </c>
      <c r="N34" s="5" t="s">
        <v>713</v>
      </c>
      <c r="O34" s="5" t="s">
        <v>98</v>
      </c>
      <c r="P34" s="5" t="s">
        <v>9</v>
      </c>
      <c r="XFD34"/>
    </row>
    <row r="35" spans="1:16 16384:16384" s="5" customFormat="1">
      <c r="A35" s="5" t="s">
        <v>98</v>
      </c>
      <c r="B35" s="5" t="s">
        <v>1600</v>
      </c>
      <c r="C35" s="5" t="s">
        <v>983</v>
      </c>
      <c r="D35" s="5">
        <v>183722</v>
      </c>
      <c r="E35" s="5" t="s">
        <v>3</v>
      </c>
      <c r="F35" s="6">
        <v>43026</v>
      </c>
      <c r="G35" s="5" t="s">
        <v>766</v>
      </c>
      <c r="H35" s="5" t="s">
        <v>95</v>
      </c>
      <c r="I35" s="5" t="s">
        <v>96</v>
      </c>
      <c r="J35" s="5" t="s">
        <v>0</v>
      </c>
      <c r="K35" s="5" t="s">
        <v>1</v>
      </c>
      <c r="L35" s="5" t="s">
        <v>2</v>
      </c>
      <c r="M35" s="5" t="s">
        <v>917</v>
      </c>
      <c r="N35" s="5" t="s">
        <v>767</v>
      </c>
      <c r="O35" s="5" t="s">
        <v>98</v>
      </c>
      <c r="P35" s="5" t="s">
        <v>9</v>
      </c>
      <c r="XFD35"/>
    </row>
    <row r="36" spans="1:16 16384:16384" s="5" customFormat="1">
      <c r="A36" s="5" t="s">
        <v>98</v>
      </c>
      <c r="B36" s="5" t="s">
        <v>1601</v>
      </c>
      <c r="C36" s="5" t="s">
        <v>987</v>
      </c>
      <c r="D36" s="5">
        <v>184104</v>
      </c>
      <c r="E36" s="5" t="s">
        <v>86</v>
      </c>
      <c r="F36" s="6">
        <v>43087</v>
      </c>
      <c r="G36" s="5" t="s">
        <v>768</v>
      </c>
      <c r="H36" s="5" t="s">
        <v>95</v>
      </c>
      <c r="I36" s="5" t="s">
        <v>96</v>
      </c>
      <c r="J36" s="5" t="s">
        <v>0</v>
      </c>
      <c r="K36" s="5" t="s">
        <v>1</v>
      </c>
      <c r="L36" s="5" t="s">
        <v>2</v>
      </c>
      <c r="M36" s="5" t="s">
        <v>917</v>
      </c>
      <c r="N36" s="5" t="s">
        <v>769</v>
      </c>
      <c r="O36" s="5" t="s">
        <v>98</v>
      </c>
      <c r="P36" s="5" t="s">
        <v>9</v>
      </c>
      <c r="XFD36"/>
    </row>
    <row r="37" spans="1:16 16384:16384" s="5" customFormat="1">
      <c r="A37" s="5" t="s">
        <v>98</v>
      </c>
      <c r="B37" s="5" t="s">
        <v>1602</v>
      </c>
      <c r="C37" s="5" t="s">
        <v>992</v>
      </c>
      <c r="D37" s="5">
        <v>184505</v>
      </c>
      <c r="E37" s="5" t="s">
        <v>86</v>
      </c>
      <c r="F37" s="6">
        <v>42718</v>
      </c>
      <c r="G37" s="5" t="s">
        <v>770</v>
      </c>
      <c r="H37" s="5" t="s">
        <v>95</v>
      </c>
      <c r="I37" s="5" t="s">
        <v>96</v>
      </c>
      <c r="J37" s="5" t="s">
        <v>0</v>
      </c>
      <c r="K37" s="5" t="s">
        <v>1</v>
      </c>
      <c r="L37" s="5" t="s">
        <v>2</v>
      </c>
      <c r="M37" s="5" t="s">
        <v>917</v>
      </c>
      <c r="N37" s="5" t="s">
        <v>771</v>
      </c>
      <c r="O37" s="5" t="s">
        <v>98</v>
      </c>
      <c r="P37" s="5" t="s">
        <v>9</v>
      </c>
      <c r="XFD37"/>
    </row>
    <row r="38" spans="1:16 16384:16384" s="5" customFormat="1">
      <c r="A38" s="5" t="s">
        <v>98</v>
      </c>
      <c r="B38" s="5" t="s">
        <v>1603</v>
      </c>
      <c r="C38" s="5" t="s">
        <v>996</v>
      </c>
      <c r="D38" s="5">
        <v>185213</v>
      </c>
      <c r="E38" s="5" t="s">
        <v>24</v>
      </c>
      <c r="F38" s="6">
        <v>43026</v>
      </c>
      <c r="G38" s="5" t="s">
        <v>772</v>
      </c>
      <c r="H38" s="5" t="s">
        <v>95</v>
      </c>
      <c r="I38" s="5" t="s">
        <v>96</v>
      </c>
      <c r="J38" s="5" t="s">
        <v>0</v>
      </c>
      <c r="K38" s="5" t="s">
        <v>1</v>
      </c>
      <c r="L38" s="5" t="s">
        <v>2</v>
      </c>
      <c r="M38" s="5" t="s">
        <v>917</v>
      </c>
      <c r="N38" s="5" t="s">
        <v>773</v>
      </c>
      <c r="O38" s="5" t="s">
        <v>98</v>
      </c>
      <c r="P38" s="5" t="s">
        <v>9</v>
      </c>
      <c r="XFD38"/>
    </row>
    <row r="39" spans="1:16 16384:16384" s="5" customFormat="1">
      <c r="A39" s="5" t="s">
        <v>98</v>
      </c>
      <c r="B39" s="5" t="s">
        <v>1604</v>
      </c>
      <c r="C39" s="5" t="s">
        <v>1000</v>
      </c>
      <c r="D39" s="5">
        <v>185989</v>
      </c>
      <c r="E39" s="5" t="s">
        <v>86</v>
      </c>
      <c r="F39" s="6">
        <v>43047</v>
      </c>
      <c r="G39" s="5" t="s">
        <v>774</v>
      </c>
      <c r="H39" s="5" t="s">
        <v>95</v>
      </c>
      <c r="I39" s="5" t="s">
        <v>96</v>
      </c>
      <c r="J39" s="5" t="s">
        <v>0</v>
      </c>
      <c r="K39" s="5" t="s">
        <v>1</v>
      </c>
      <c r="L39" s="5" t="s">
        <v>2</v>
      </c>
      <c r="M39" s="5" t="s">
        <v>917</v>
      </c>
      <c r="N39" s="5" t="s">
        <v>775</v>
      </c>
      <c r="O39" s="5" t="s">
        <v>98</v>
      </c>
      <c r="P39" s="5" t="s">
        <v>9</v>
      </c>
      <c r="XFD39"/>
    </row>
    <row r="40" spans="1:16 16384:16384" s="5" customFormat="1">
      <c r="A40" s="5" t="s">
        <v>98</v>
      </c>
      <c r="B40" s="5" t="s">
        <v>1605</v>
      </c>
      <c r="C40" s="5" t="s">
        <v>1004</v>
      </c>
      <c r="D40" s="5">
        <v>187590</v>
      </c>
      <c r="E40" s="5" t="s">
        <v>24</v>
      </c>
      <c r="F40" s="6">
        <v>43026</v>
      </c>
      <c r="G40" s="5" t="s">
        <v>776</v>
      </c>
      <c r="H40" s="5" t="s">
        <v>95</v>
      </c>
      <c r="I40" s="5" t="s">
        <v>96</v>
      </c>
      <c r="J40" s="5" t="s">
        <v>0</v>
      </c>
      <c r="K40" s="5" t="s">
        <v>1</v>
      </c>
      <c r="L40" s="5" t="s">
        <v>2</v>
      </c>
      <c r="M40" s="5" t="s">
        <v>917</v>
      </c>
      <c r="N40" s="5" t="s">
        <v>777</v>
      </c>
      <c r="O40" s="5" t="s">
        <v>98</v>
      </c>
      <c r="P40" s="5" t="s">
        <v>9</v>
      </c>
      <c r="XFD40"/>
    </row>
    <row r="41" spans="1:16 16384:16384" s="5" customFormat="1">
      <c r="A41" s="5" t="s">
        <v>98</v>
      </c>
      <c r="B41" s="5" t="s">
        <v>1606</v>
      </c>
      <c r="C41" s="5" t="s">
        <v>1008</v>
      </c>
      <c r="D41" s="5">
        <v>187657</v>
      </c>
      <c r="E41" s="5" t="s">
        <v>3</v>
      </c>
      <c r="F41" s="6">
        <v>43026</v>
      </c>
      <c r="G41" s="5" t="s">
        <v>778</v>
      </c>
      <c r="H41" s="5" t="s">
        <v>95</v>
      </c>
      <c r="I41" s="5" t="s">
        <v>96</v>
      </c>
      <c r="J41" s="5" t="s">
        <v>0</v>
      </c>
      <c r="K41" s="5" t="s">
        <v>1</v>
      </c>
      <c r="L41" s="5" t="s">
        <v>2</v>
      </c>
      <c r="M41" s="5" t="s">
        <v>917</v>
      </c>
      <c r="N41" s="5" t="s">
        <v>779</v>
      </c>
      <c r="O41" s="5" t="s">
        <v>98</v>
      </c>
      <c r="P41" s="5" t="s">
        <v>9</v>
      </c>
      <c r="XFD41"/>
    </row>
    <row r="42" spans="1:16 16384:16384" s="5" customFormat="1">
      <c r="A42" s="5" t="s">
        <v>98</v>
      </c>
      <c r="B42" s="5" t="s">
        <v>1607</v>
      </c>
      <c r="C42" s="5" t="s">
        <v>1012</v>
      </c>
      <c r="D42" s="5">
        <v>187673</v>
      </c>
      <c r="E42" s="5" t="s">
        <v>86</v>
      </c>
      <c r="F42" s="6">
        <v>43047</v>
      </c>
      <c r="G42" s="5" t="s">
        <v>780</v>
      </c>
      <c r="H42" s="5" t="s">
        <v>95</v>
      </c>
      <c r="I42" s="5" t="s">
        <v>96</v>
      </c>
      <c r="J42" s="5" t="s">
        <v>0</v>
      </c>
      <c r="K42" s="5" t="s">
        <v>1</v>
      </c>
      <c r="L42" s="5" t="s">
        <v>2</v>
      </c>
      <c r="M42" s="5" t="s">
        <v>917</v>
      </c>
      <c r="N42" s="5" t="s">
        <v>781</v>
      </c>
      <c r="O42" s="5" t="s">
        <v>98</v>
      </c>
      <c r="P42" s="5" t="s">
        <v>9</v>
      </c>
      <c r="XFD42"/>
    </row>
    <row r="43" spans="1:16 16384:16384" s="5" customFormat="1">
      <c r="A43" s="5" t="s">
        <v>98</v>
      </c>
      <c r="B43" s="5" t="s">
        <v>1608</v>
      </c>
      <c r="C43" s="5" t="s">
        <v>1016</v>
      </c>
      <c r="D43" s="5">
        <v>189406</v>
      </c>
      <c r="E43" s="5" t="s">
        <v>3</v>
      </c>
      <c r="F43" s="6">
        <v>43026</v>
      </c>
      <c r="G43" s="5" t="s">
        <v>785</v>
      </c>
      <c r="H43" s="5" t="s">
        <v>95</v>
      </c>
      <c r="I43" s="5" t="s">
        <v>96</v>
      </c>
      <c r="J43" s="5" t="s">
        <v>0</v>
      </c>
      <c r="K43" s="5" t="s">
        <v>1</v>
      </c>
      <c r="L43" s="5" t="s">
        <v>2</v>
      </c>
      <c r="M43" s="5" t="s">
        <v>917</v>
      </c>
      <c r="N43" s="5" t="s">
        <v>786</v>
      </c>
      <c r="O43" s="5" t="s">
        <v>98</v>
      </c>
      <c r="P43" s="5" t="s">
        <v>9</v>
      </c>
      <c r="XFD43"/>
    </row>
    <row r="44" spans="1:16 16384:16384" s="5" customFormat="1">
      <c r="A44" s="5" t="s">
        <v>98</v>
      </c>
      <c r="B44" s="5" t="s">
        <v>1609</v>
      </c>
      <c r="C44" s="5" t="s">
        <v>1020</v>
      </c>
      <c r="D44" s="5">
        <v>189411</v>
      </c>
      <c r="E44" s="5" t="s">
        <v>3</v>
      </c>
      <c r="F44" s="6">
        <v>43026</v>
      </c>
      <c r="G44" s="5" t="s">
        <v>787</v>
      </c>
      <c r="H44" s="5" t="s">
        <v>95</v>
      </c>
      <c r="I44" s="5" t="s">
        <v>96</v>
      </c>
      <c r="J44" s="5" t="s">
        <v>0</v>
      </c>
      <c r="K44" s="5" t="s">
        <v>1</v>
      </c>
      <c r="L44" s="5" t="s">
        <v>2</v>
      </c>
      <c r="M44" s="5" t="s">
        <v>917</v>
      </c>
      <c r="N44" s="5" t="s">
        <v>788</v>
      </c>
      <c r="O44" s="5" t="s">
        <v>98</v>
      </c>
      <c r="P44" s="5" t="s">
        <v>9</v>
      </c>
      <c r="XFD44"/>
    </row>
    <row r="45" spans="1:16 16384:16384" s="5" customFormat="1">
      <c r="A45" s="5" t="s">
        <v>98</v>
      </c>
      <c r="B45" s="5" t="s">
        <v>1610</v>
      </c>
      <c r="C45" s="5" t="s">
        <v>1181</v>
      </c>
      <c r="D45" s="5">
        <v>189424</v>
      </c>
      <c r="E45" s="5" t="s">
        <v>86</v>
      </c>
      <c r="F45" s="6">
        <v>43196</v>
      </c>
      <c r="G45" s="5" t="s">
        <v>942</v>
      </c>
      <c r="H45" s="5" t="s">
        <v>95</v>
      </c>
      <c r="I45" s="5" t="s">
        <v>96</v>
      </c>
      <c r="J45" s="5" t="s">
        <v>0</v>
      </c>
      <c r="K45" s="5" t="s">
        <v>1</v>
      </c>
      <c r="L45" s="5" t="s">
        <v>2</v>
      </c>
      <c r="M45" s="5" t="s">
        <v>917</v>
      </c>
      <c r="N45" s="5" t="s">
        <v>943</v>
      </c>
      <c r="O45" s="5" t="s">
        <v>98</v>
      </c>
      <c r="P45" s="5" t="s">
        <v>9</v>
      </c>
      <c r="XFD45"/>
    </row>
    <row r="46" spans="1:16 16384:16384" s="5" customFormat="1">
      <c r="A46" s="5" t="s">
        <v>98</v>
      </c>
      <c r="B46" s="5" t="s">
        <v>1611</v>
      </c>
      <c r="C46" s="5" t="s">
        <v>1024</v>
      </c>
      <c r="D46" s="5">
        <v>189425</v>
      </c>
      <c r="E46" s="5" t="s">
        <v>212</v>
      </c>
      <c r="F46" s="6">
        <v>42718</v>
      </c>
      <c r="G46" s="5" t="s">
        <v>789</v>
      </c>
      <c r="H46" s="5" t="s">
        <v>95</v>
      </c>
      <c r="I46" s="5" t="s">
        <v>96</v>
      </c>
      <c r="J46" s="5" t="s">
        <v>0</v>
      </c>
      <c r="K46" s="5" t="s">
        <v>1</v>
      </c>
      <c r="L46" s="5" t="s">
        <v>2</v>
      </c>
      <c r="M46" s="5" t="s">
        <v>917</v>
      </c>
      <c r="N46" s="5" t="s">
        <v>790</v>
      </c>
      <c r="O46" s="5" t="s">
        <v>98</v>
      </c>
      <c r="P46" s="5" t="s">
        <v>9</v>
      </c>
      <c r="XFD46"/>
    </row>
    <row r="47" spans="1:16 16384:16384" s="5" customFormat="1">
      <c r="A47" s="5" t="s">
        <v>98</v>
      </c>
      <c r="B47" s="5" t="s">
        <v>1612</v>
      </c>
      <c r="C47" s="5" t="s">
        <v>1028</v>
      </c>
      <c r="D47" s="5">
        <v>189426</v>
      </c>
      <c r="E47" s="5" t="s">
        <v>212</v>
      </c>
      <c r="F47" s="6">
        <v>42718</v>
      </c>
      <c r="G47" s="5" t="s">
        <v>791</v>
      </c>
      <c r="H47" s="5" t="s">
        <v>95</v>
      </c>
      <c r="I47" s="5" t="s">
        <v>96</v>
      </c>
      <c r="J47" s="5" t="s">
        <v>0</v>
      </c>
      <c r="K47" s="5" t="s">
        <v>1</v>
      </c>
      <c r="L47" s="5" t="s">
        <v>2</v>
      </c>
      <c r="M47" s="5" t="s">
        <v>917</v>
      </c>
      <c r="N47" s="5" t="s">
        <v>792</v>
      </c>
      <c r="O47" s="5" t="s">
        <v>98</v>
      </c>
      <c r="P47" s="5" t="s">
        <v>9</v>
      </c>
      <c r="XFD47"/>
    </row>
    <row r="48" spans="1:16 16384:16384" s="5" customFormat="1">
      <c r="A48" s="5" t="s">
        <v>98</v>
      </c>
      <c r="B48" s="5" t="s">
        <v>1613</v>
      </c>
      <c r="C48" s="5" t="s">
        <v>1032</v>
      </c>
      <c r="D48" s="5">
        <v>189441</v>
      </c>
      <c r="E48" s="5" t="s">
        <v>3</v>
      </c>
      <c r="F48" s="6">
        <v>43026</v>
      </c>
      <c r="G48" s="5" t="s">
        <v>793</v>
      </c>
      <c r="H48" s="5" t="s">
        <v>95</v>
      </c>
      <c r="I48" s="5" t="s">
        <v>96</v>
      </c>
      <c r="J48" s="5" t="s">
        <v>0</v>
      </c>
      <c r="K48" s="5" t="s">
        <v>1</v>
      </c>
      <c r="L48" s="5" t="s">
        <v>2</v>
      </c>
      <c r="M48" s="5" t="s">
        <v>917</v>
      </c>
      <c r="N48" s="5" t="s">
        <v>794</v>
      </c>
      <c r="O48" s="5" t="s">
        <v>98</v>
      </c>
      <c r="P48" s="5" t="s">
        <v>9</v>
      </c>
      <c r="XFD48"/>
    </row>
    <row r="49" spans="1:16 16384:16384" s="5" customFormat="1">
      <c r="A49" s="5" t="s">
        <v>98</v>
      </c>
      <c r="B49" s="5" t="s">
        <v>1614</v>
      </c>
      <c r="C49" s="5" t="s">
        <v>1036</v>
      </c>
      <c r="D49" s="5">
        <v>189462</v>
      </c>
      <c r="E49" s="5" t="s">
        <v>24</v>
      </c>
      <c r="F49" s="6">
        <v>43026</v>
      </c>
      <c r="G49" s="5" t="s">
        <v>795</v>
      </c>
      <c r="H49" s="5" t="s">
        <v>95</v>
      </c>
      <c r="I49" s="5" t="s">
        <v>96</v>
      </c>
      <c r="J49" s="5" t="s">
        <v>0</v>
      </c>
      <c r="K49" s="5" t="s">
        <v>1</v>
      </c>
      <c r="L49" s="5" t="s">
        <v>2</v>
      </c>
      <c r="M49" s="5" t="s">
        <v>917</v>
      </c>
      <c r="N49" s="5" t="s">
        <v>796</v>
      </c>
      <c r="O49" s="5" t="s">
        <v>98</v>
      </c>
      <c r="P49" s="5" t="s">
        <v>9</v>
      </c>
      <c r="XFD49"/>
    </row>
    <row r="50" spans="1:16 16384:16384" s="5" customFormat="1">
      <c r="A50" s="5" t="s">
        <v>98</v>
      </c>
      <c r="B50" s="5" t="s">
        <v>1615</v>
      </c>
      <c r="C50" s="5" t="s">
        <v>1040</v>
      </c>
      <c r="D50" s="5">
        <v>189500</v>
      </c>
      <c r="E50" s="5" t="s">
        <v>3</v>
      </c>
      <c r="F50" s="6">
        <v>43026</v>
      </c>
      <c r="G50" s="5" t="s">
        <v>797</v>
      </c>
      <c r="H50" s="5" t="s">
        <v>95</v>
      </c>
      <c r="I50" s="5" t="s">
        <v>96</v>
      </c>
      <c r="J50" s="5" t="s">
        <v>0</v>
      </c>
      <c r="K50" s="5" t="s">
        <v>1</v>
      </c>
      <c r="L50" s="5" t="s">
        <v>2</v>
      </c>
      <c r="M50" s="5" t="s">
        <v>917</v>
      </c>
      <c r="N50" s="5" t="s">
        <v>798</v>
      </c>
      <c r="O50" s="5" t="s">
        <v>98</v>
      </c>
      <c r="P50" s="5" t="s">
        <v>9</v>
      </c>
      <c r="XFD50"/>
    </row>
    <row r="51" spans="1:16 16384:16384" s="5" customFormat="1">
      <c r="A51" s="5" t="s">
        <v>98</v>
      </c>
      <c r="B51" s="5" t="s">
        <v>1616</v>
      </c>
      <c r="C51" s="5" t="s">
        <v>1044</v>
      </c>
      <c r="D51" s="5">
        <v>189520</v>
      </c>
      <c r="E51" s="5" t="s">
        <v>65</v>
      </c>
      <c r="F51" s="6">
        <v>42627</v>
      </c>
      <c r="G51" s="5" t="s">
        <v>799</v>
      </c>
      <c r="H51" s="5" t="s">
        <v>95</v>
      </c>
      <c r="I51" s="5" t="s">
        <v>96</v>
      </c>
      <c r="J51" s="5" t="s">
        <v>0</v>
      </c>
      <c r="K51" s="5" t="s">
        <v>1</v>
      </c>
      <c r="L51" s="5" t="s">
        <v>2</v>
      </c>
      <c r="M51" s="5" t="s">
        <v>917</v>
      </c>
      <c r="N51" s="5" t="s">
        <v>800</v>
      </c>
      <c r="O51" s="5" t="s">
        <v>98</v>
      </c>
      <c r="P51" s="5" t="s">
        <v>9</v>
      </c>
      <c r="XFD51"/>
    </row>
    <row r="52" spans="1:16 16384:16384" s="5" customFormat="1">
      <c r="A52" s="5" t="s">
        <v>98</v>
      </c>
      <c r="B52" s="5" t="s">
        <v>1617</v>
      </c>
      <c r="C52" s="5" t="s">
        <v>1108</v>
      </c>
      <c r="D52" s="5">
        <v>220007</v>
      </c>
      <c r="E52" s="5" t="s">
        <v>24</v>
      </c>
      <c r="F52" s="6">
        <v>43369</v>
      </c>
      <c r="G52" s="5" t="s">
        <v>806</v>
      </c>
      <c r="H52" s="5" t="s">
        <v>95</v>
      </c>
      <c r="I52" s="5" t="s">
        <v>96</v>
      </c>
      <c r="J52" s="5" t="s">
        <v>0</v>
      </c>
      <c r="K52" s="5" t="s">
        <v>1</v>
      </c>
      <c r="L52" s="5" t="s">
        <v>2</v>
      </c>
      <c r="M52" s="5" t="s">
        <v>917</v>
      </c>
      <c r="N52" s="5" t="s">
        <v>807</v>
      </c>
      <c r="O52" s="5" t="s">
        <v>98</v>
      </c>
      <c r="P52" s="5" t="s">
        <v>9</v>
      </c>
      <c r="XFD52"/>
    </row>
    <row r="53" spans="1:16 16384:16384" s="5" customFormat="1">
      <c r="A53" s="5" t="s">
        <v>98</v>
      </c>
      <c r="B53" s="5" t="s">
        <v>1618</v>
      </c>
      <c r="C53" s="5" t="s">
        <v>1048</v>
      </c>
      <c r="D53" s="5">
        <v>231916</v>
      </c>
      <c r="E53" s="5" t="s">
        <v>24</v>
      </c>
      <c r="F53" s="6">
        <v>43026</v>
      </c>
      <c r="G53" s="5" t="s">
        <v>816</v>
      </c>
      <c r="H53" s="5" t="s">
        <v>95</v>
      </c>
      <c r="I53" s="5" t="s">
        <v>96</v>
      </c>
      <c r="J53" s="5" t="s">
        <v>0</v>
      </c>
      <c r="K53" s="5" t="s">
        <v>1</v>
      </c>
      <c r="L53" s="5" t="s">
        <v>2</v>
      </c>
      <c r="M53" s="5" t="s">
        <v>917</v>
      </c>
      <c r="N53" s="5" t="s">
        <v>817</v>
      </c>
      <c r="O53" s="5" t="s">
        <v>98</v>
      </c>
      <c r="P53" s="5" t="s">
        <v>9</v>
      </c>
      <c r="XFD53"/>
    </row>
    <row r="54" spans="1:16 16384:16384" s="5" customFormat="1">
      <c r="A54" s="5" t="s">
        <v>98</v>
      </c>
      <c r="B54" s="5" t="s">
        <v>1619</v>
      </c>
      <c r="C54" s="5" t="s">
        <v>1052</v>
      </c>
      <c r="D54" s="5">
        <v>233415</v>
      </c>
      <c r="E54" s="5" t="s">
        <v>212</v>
      </c>
      <c r="F54" s="6">
        <v>42655</v>
      </c>
      <c r="G54" s="5" t="s">
        <v>818</v>
      </c>
      <c r="H54" s="5" t="s">
        <v>95</v>
      </c>
      <c r="I54" s="5" t="s">
        <v>96</v>
      </c>
      <c r="J54" s="5" t="s">
        <v>0</v>
      </c>
      <c r="K54" s="5" t="s">
        <v>1</v>
      </c>
      <c r="L54" s="5" t="s">
        <v>2</v>
      </c>
      <c r="M54" s="5" t="s">
        <v>917</v>
      </c>
      <c r="N54" s="5" t="s">
        <v>819</v>
      </c>
      <c r="O54" s="5" t="s">
        <v>98</v>
      </c>
      <c r="P54" s="5" t="s">
        <v>9</v>
      </c>
      <c r="XFD54"/>
    </row>
    <row r="55" spans="1:16 16384:16384" s="5" customFormat="1">
      <c r="A55" s="5" t="s">
        <v>98</v>
      </c>
      <c r="B55" s="5" t="s">
        <v>1620</v>
      </c>
      <c r="C55" s="5" t="s">
        <v>1056</v>
      </c>
      <c r="D55" s="5">
        <v>404140</v>
      </c>
      <c r="E55" s="5" t="s">
        <v>24</v>
      </c>
      <c r="F55" s="6">
        <v>43026</v>
      </c>
      <c r="G55" s="5" t="s">
        <v>838</v>
      </c>
      <c r="H55" s="5" t="s">
        <v>95</v>
      </c>
      <c r="I55" s="5" t="s">
        <v>96</v>
      </c>
      <c r="J55" s="5" t="s">
        <v>0</v>
      </c>
      <c r="K55" s="5" t="s">
        <v>1</v>
      </c>
      <c r="L55" s="5" t="s">
        <v>2</v>
      </c>
      <c r="M55" s="5" t="s">
        <v>917</v>
      </c>
      <c r="N55" s="5" t="s">
        <v>839</v>
      </c>
      <c r="O55" s="5" t="s">
        <v>98</v>
      </c>
      <c r="P55" s="5" t="s">
        <v>9</v>
      </c>
      <c r="XFD55"/>
    </row>
    <row r="56" spans="1:16 16384:16384" s="5" customFormat="1">
      <c r="A56" s="5" t="s">
        <v>98</v>
      </c>
      <c r="B56" s="5" t="s">
        <v>1621</v>
      </c>
      <c r="C56" s="5" t="s">
        <v>1060</v>
      </c>
      <c r="D56" s="5">
        <v>404147</v>
      </c>
      <c r="E56" s="5" t="s">
        <v>86</v>
      </c>
      <c r="F56" s="6">
        <v>43103</v>
      </c>
      <c r="G56" s="5" t="s">
        <v>840</v>
      </c>
      <c r="H56" s="5" t="s">
        <v>95</v>
      </c>
      <c r="I56" s="5" t="s">
        <v>96</v>
      </c>
      <c r="J56" s="5" t="s">
        <v>0</v>
      </c>
      <c r="K56" s="5" t="s">
        <v>1</v>
      </c>
      <c r="L56" s="5" t="s">
        <v>2</v>
      </c>
      <c r="M56" s="5" t="s">
        <v>917</v>
      </c>
      <c r="N56" s="5" t="s">
        <v>841</v>
      </c>
      <c r="O56" s="5" t="s">
        <v>98</v>
      </c>
      <c r="P56" s="5" t="s">
        <v>9</v>
      </c>
      <c r="XFD5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F549B-C172-FA44-B5C9-65DD847EB944}">
  <sheetPr codeName="Sheet8"/>
  <dimension ref="A1:XFD103"/>
  <sheetViews>
    <sheetView tabSelected="1" workbookViewId="0">
      <selection sqref="A1:XFD1048576"/>
    </sheetView>
  </sheetViews>
  <sheetFormatPr baseColWidth="10" defaultRowHeight="16"/>
  <cols>
    <col min="1" max="1" width="13.1640625" bestFit="1" customWidth="1"/>
    <col min="2" max="2" width="13.5" bestFit="1" customWidth="1"/>
    <col min="3" max="3" width="7.1640625" bestFit="1" customWidth="1"/>
    <col min="4" max="4" width="10.5" bestFit="1" customWidth="1"/>
    <col min="5" max="5" width="19.5" bestFit="1" customWidth="1"/>
    <col min="6" max="6" width="16.83203125" bestFit="1" customWidth="1"/>
    <col min="7" max="7" width="255.83203125" bestFit="1" customWidth="1"/>
    <col min="8" max="8" width="33.33203125" bestFit="1" customWidth="1"/>
    <col min="9" max="9" width="87.1640625" bestFit="1" customWidth="1"/>
    <col min="10" max="10" width="22" bestFit="1" customWidth="1"/>
    <col min="11" max="11" width="15.5" bestFit="1" customWidth="1"/>
    <col min="12" max="12" width="11.6640625" bestFit="1" customWidth="1"/>
    <col min="13" max="13" width="41" bestFit="1" customWidth="1"/>
    <col min="14" max="14" width="14.83203125" bestFit="1" customWidth="1"/>
    <col min="15" max="15" width="20.33203125" bestFit="1" customWidth="1"/>
    <col min="16" max="16" width="24.5" bestFit="1" customWidth="1"/>
  </cols>
  <sheetData>
    <row r="1" spans="1:16 16384:16384" s="7" customFormat="1">
      <c r="A1" s="7" t="s">
        <v>944</v>
      </c>
      <c r="B1" s="7" t="s">
        <v>1195</v>
      </c>
      <c r="C1" s="7" t="s">
        <v>1193</v>
      </c>
      <c r="D1" s="7" t="s">
        <v>912</v>
      </c>
      <c r="E1" s="7" t="s">
        <v>898</v>
      </c>
      <c r="F1" s="7" t="s">
        <v>899</v>
      </c>
      <c r="G1" s="7" t="s">
        <v>900</v>
      </c>
      <c r="H1" s="7" t="s">
        <v>901</v>
      </c>
      <c r="I1" s="7" t="s">
        <v>902</v>
      </c>
      <c r="J1" s="7" t="s">
        <v>903</v>
      </c>
      <c r="K1" s="7" t="s">
        <v>904</v>
      </c>
      <c r="L1" s="7" t="s">
        <v>905</v>
      </c>
      <c r="M1" s="7" t="s">
        <v>906</v>
      </c>
      <c r="N1" s="7" t="s">
        <v>907</v>
      </c>
      <c r="O1" s="7" t="s">
        <v>908</v>
      </c>
      <c r="P1" s="7" t="s">
        <v>909</v>
      </c>
      <c r="XFD1"/>
    </row>
    <row r="2" spans="1:16 16384:16384" s="5" customFormat="1">
      <c r="A2" s="5" t="s">
        <v>945</v>
      </c>
      <c r="B2" s="5" t="s">
        <v>1622</v>
      </c>
      <c r="C2" s="5" t="s">
        <v>1197</v>
      </c>
      <c r="D2" s="5">
        <v>14087</v>
      </c>
      <c r="E2" s="5" t="s">
        <v>3</v>
      </c>
      <c r="F2" s="6">
        <v>42719</v>
      </c>
      <c r="G2" s="5" t="s">
        <v>170</v>
      </c>
      <c r="H2" s="5" t="s">
        <v>171</v>
      </c>
      <c r="I2" s="5" t="s">
        <v>172</v>
      </c>
      <c r="J2" s="5" t="s">
        <v>0</v>
      </c>
      <c r="K2" s="5" t="s">
        <v>1</v>
      </c>
      <c r="L2" s="5" t="s">
        <v>2</v>
      </c>
      <c r="M2" s="5" t="s">
        <v>933</v>
      </c>
      <c r="N2" s="5" t="s">
        <v>173</v>
      </c>
      <c r="O2" s="5" t="s">
        <v>174</v>
      </c>
      <c r="P2" s="5" t="s">
        <v>9</v>
      </c>
      <c r="XFD2"/>
    </row>
    <row r="3" spans="1:16 16384:16384" s="5" customFormat="1">
      <c r="A3" s="5" t="s">
        <v>945</v>
      </c>
      <c r="B3" s="5" t="s">
        <v>1623</v>
      </c>
      <c r="C3" s="5" t="s">
        <v>1197</v>
      </c>
      <c r="D3" s="5">
        <v>14089</v>
      </c>
      <c r="E3" s="5" t="s">
        <v>3</v>
      </c>
      <c r="F3" s="6">
        <v>42719</v>
      </c>
      <c r="G3" s="5" t="s">
        <v>175</v>
      </c>
      <c r="H3" s="5" t="s">
        <v>176</v>
      </c>
      <c r="I3" s="5" t="s">
        <v>177</v>
      </c>
      <c r="J3" s="5" t="s">
        <v>0</v>
      </c>
      <c r="K3" s="5" t="s">
        <v>1</v>
      </c>
      <c r="L3" s="5" t="s">
        <v>2</v>
      </c>
      <c r="M3" s="5" t="s">
        <v>933</v>
      </c>
      <c r="N3" s="5" t="s">
        <v>178</v>
      </c>
      <c r="O3" s="5" t="s">
        <v>174</v>
      </c>
      <c r="P3" s="5" t="s">
        <v>9</v>
      </c>
      <c r="XFD3"/>
    </row>
    <row r="4" spans="1:16 16384:16384" s="5" customFormat="1">
      <c r="A4" s="5" t="s">
        <v>945</v>
      </c>
      <c r="B4" s="5" t="s">
        <v>1624</v>
      </c>
      <c r="C4" s="5" t="s">
        <v>1197</v>
      </c>
      <c r="D4" s="5">
        <v>14090</v>
      </c>
      <c r="E4" s="5" t="s">
        <v>3</v>
      </c>
      <c r="F4" s="6">
        <v>42719</v>
      </c>
      <c r="G4" s="5" t="s">
        <v>179</v>
      </c>
      <c r="H4" s="5" t="s">
        <v>171</v>
      </c>
      <c r="I4" s="5" t="s">
        <v>172</v>
      </c>
      <c r="J4" s="5" t="s">
        <v>0</v>
      </c>
      <c r="K4" s="5" t="s">
        <v>1</v>
      </c>
      <c r="L4" s="5" t="s">
        <v>2</v>
      </c>
      <c r="M4" s="5" t="s">
        <v>933</v>
      </c>
      <c r="N4" s="5" t="s">
        <v>180</v>
      </c>
      <c r="O4" s="5" t="s">
        <v>174</v>
      </c>
      <c r="P4" s="5" t="s">
        <v>9</v>
      </c>
      <c r="XFD4"/>
    </row>
    <row r="5" spans="1:16 16384:16384" s="5" customFormat="1">
      <c r="A5" s="5" t="s">
        <v>945</v>
      </c>
      <c r="B5" s="5" t="s">
        <v>1625</v>
      </c>
      <c r="C5" s="5" t="s">
        <v>1197</v>
      </c>
      <c r="D5" s="5">
        <v>14095</v>
      </c>
      <c r="E5" s="5" t="s">
        <v>3</v>
      </c>
      <c r="F5" s="6">
        <v>42719</v>
      </c>
      <c r="G5" s="5" t="s">
        <v>181</v>
      </c>
      <c r="H5" s="5" t="s">
        <v>171</v>
      </c>
      <c r="I5" s="5" t="s">
        <v>172</v>
      </c>
      <c r="J5" s="5" t="s">
        <v>0</v>
      </c>
      <c r="K5" s="5" t="s">
        <v>1</v>
      </c>
      <c r="L5" s="5" t="s">
        <v>2</v>
      </c>
      <c r="M5" s="5" t="s">
        <v>933</v>
      </c>
      <c r="N5" s="5" t="s">
        <v>182</v>
      </c>
      <c r="O5" s="5" t="s">
        <v>174</v>
      </c>
      <c r="P5" s="5" t="s">
        <v>9</v>
      </c>
      <c r="XFD5"/>
    </row>
    <row r="6" spans="1:16 16384:16384" s="5" customFormat="1">
      <c r="A6" s="5" t="s">
        <v>945</v>
      </c>
      <c r="B6" s="5" t="s">
        <v>1626</v>
      </c>
      <c r="C6" s="5" t="s">
        <v>1197</v>
      </c>
      <c r="D6" s="5">
        <v>14097</v>
      </c>
      <c r="E6" s="5" t="s">
        <v>3</v>
      </c>
      <c r="F6" s="6">
        <v>42719</v>
      </c>
      <c r="G6" s="5" t="s">
        <v>183</v>
      </c>
      <c r="H6" s="5" t="s">
        <v>171</v>
      </c>
      <c r="I6" s="5" t="s">
        <v>172</v>
      </c>
      <c r="J6" s="5" t="s">
        <v>0</v>
      </c>
      <c r="K6" s="5" t="s">
        <v>1</v>
      </c>
      <c r="L6" s="5" t="s">
        <v>2</v>
      </c>
      <c r="M6" s="5" t="s">
        <v>933</v>
      </c>
      <c r="N6" s="5" t="s">
        <v>184</v>
      </c>
      <c r="O6" s="5" t="s">
        <v>174</v>
      </c>
      <c r="P6" s="5" t="s">
        <v>9</v>
      </c>
      <c r="XFD6"/>
    </row>
    <row r="7" spans="1:16 16384:16384" s="5" customFormat="1">
      <c r="A7" s="5" t="s">
        <v>945</v>
      </c>
      <c r="B7" s="5" t="s">
        <v>1627</v>
      </c>
      <c r="C7" s="5" t="s">
        <v>1197</v>
      </c>
      <c r="D7" s="5">
        <v>14098</v>
      </c>
      <c r="E7" s="5" t="s">
        <v>3</v>
      </c>
      <c r="F7" s="6">
        <v>42719</v>
      </c>
      <c r="G7" s="5" t="s">
        <v>185</v>
      </c>
      <c r="H7" s="5" t="s">
        <v>171</v>
      </c>
      <c r="I7" s="5" t="s">
        <v>172</v>
      </c>
      <c r="J7" s="5" t="s">
        <v>0</v>
      </c>
      <c r="K7" s="5" t="s">
        <v>1</v>
      </c>
      <c r="L7" s="5" t="s">
        <v>2</v>
      </c>
      <c r="M7" s="5" t="s">
        <v>933</v>
      </c>
      <c r="N7" s="5" t="s">
        <v>186</v>
      </c>
      <c r="O7" s="5" t="s">
        <v>174</v>
      </c>
      <c r="P7" s="5" t="s">
        <v>9</v>
      </c>
      <c r="XFD7"/>
    </row>
    <row r="8" spans="1:16 16384:16384" s="5" customFormat="1">
      <c r="A8" s="5" t="s">
        <v>945</v>
      </c>
      <c r="B8" s="5" t="s">
        <v>1628</v>
      </c>
      <c r="C8" s="5" t="s">
        <v>1197</v>
      </c>
      <c r="D8" s="5">
        <v>14102</v>
      </c>
      <c r="E8" s="5" t="s">
        <v>3</v>
      </c>
      <c r="F8" s="6">
        <v>42719</v>
      </c>
      <c r="G8" s="5" t="s">
        <v>187</v>
      </c>
      <c r="H8" s="5" t="s">
        <v>171</v>
      </c>
      <c r="I8" s="5" t="s">
        <v>172</v>
      </c>
      <c r="J8" s="5" t="s">
        <v>0</v>
      </c>
      <c r="K8" s="5" t="s">
        <v>1</v>
      </c>
      <c r="L8" s="5" t="s">
        <v>2</v>
      </c>
      <c r="M8" s="5" t="s">
        <v>933</v>
      </c>
      <c r="N8" s="5" t="s">
        <v>188</v>
      </c>
      <c r="O8" s="5" t="s">
        <v>174</v>
      </c>
      <c r="P8" s="5" t="s">
        <v>9</v>
      </c>
      <c r="XFD8"/>
    </row>
    <row r="9" spans="1:16 16384:16384" s="5" customFormat="1">
      <c r="A9" s="5" t="s">
        <v>945</v>
      </c>
      <c r="B9" s="5" t="s">
        <v>1629</v>
      </c>
      <c r="C9" s="5" t="s">
        <v>1197</v>
      </c>
      <c r="D9" s="5">
        <v>14104</v>
      </c>
      <c r="E9" s="5" t="s">
        <v>3</v>
      </c>
      <c r="F9" s="6">
        <v>42719</v>
      </c>
      <c r="G9" s="5" t="s">
        <v>189</v>
      </c>
      <c r="H9" s="5" t="s">
        <v>171</v>
      </c>
      <c r="I9" s="5" t="s">
        <v>172</v>
      </c>
      <c r="J9" s="5" t="s">
        <v>0</v>
      </c>
      <c r="K9" s="5" t="s">
        <v>1</v>
      </c>
      <c r="L9" s="5" t="s">
        <v>2</v>
      </c>
      <c r="M9" s="5" t="s">
        <v>933</v>
      </c>
      <c r="N9" s="5" t="s">
        <v>190</v>
      </c>
      <c r="O9" s="5" t="s">
        <v>174</v>
      </c>
      <c r="P9" s="5" t="s">
        <v>9</v>
      </c>
      <c r="XFD9"/>
    </row>
    <row r="10" spans="1:16 16384:16384" s="5" customFormat="1">
      <c r="A10" s="5" t="s">
        <v>945</v>
      </c>
      <c r="B10" s="5" t="s">
        <v>1630</v>
      </c>
      <c r="C10" s="5" t="s">
        <v>1197</v>
      </c>
      <c r="D10" s="5">
        <v>14105</v>
      </c>
      <c r="E10" s="5" t="s">
        <v>3</v>
      </c>
      <c r="F10" s="6">
        <v>42719</v>
      </c>
      <c r="G10" s="5" t="s">
        <v>191</v>
      </c>
      <c r="H10" s="5" t="s">
        <v>171</v>
      </c>
      <c r="I10" s="5" t="s">
        <v>172</v>
      </c>
      <c r="J10" s="5" t="s">
        <v>0</v>
      </c>
      <c r="K10" s="5" t="s">
        <v>1</v>
      </c>
      <c r="L10" s="5" t="s">
        <v>2</v>
      </c>
      <c r="M10" s="5" t="s">
        <v>933</v>
      </c>
      <c r="N10" s="5" t="s">
        <v>192</v>
      </c>
      <c r="O10" s="5" t="s">
        <v>174</v>
      </c>
      <c r="P10" s="5" t="s">
        <v>9</v>
      </c>
      <c r="XFD10"/>
    </row>
    <row r="11" spans="1:16 16384:16384" s="5" customFormat="1">
      <c r="A11" s="5" t="s">
        <v>945</v>
      </c>
      <c r="B11" s="5" t="s">
        <v>1631</v>
      </c>
      <c r="C11" s="5" t="s">
        <v>1197</v>
      </c>
      <c r="D11" s="5">
        <v>14107</v>
      </c>
      <c r="E11" s="5" t="s">
        <v>3</v>
      </c>
      <c r="F11" s="6">
        <v>42719</v>
      </c>
      <c r="G11" s="5" t="s">
        <v>187</v>
      </c>
      <c r="H11" s="5" t="s">
        <v>171</v>
      </c>
      <c r="I11" s="5" t="s">
        <v>172</v>
      </c>
      <c r="J11" s="5" t="s">
        <v>0</v>
      </c>
      <c r="K11" s="5" t="s">
        <v>1</v>
      </c>
      <c r="L11" s="5" t="s">
        <v>2</v>
      </c>
      <c r="M11" s="5" t="s">
        <v>933</v>
      </c>
      <c r="N11" s="5" t="s">
        <v>193</v>
      </c>
      <c r="O11" s="5" t="s">
        <v>174</v>
      </c>
      <c r="P11" s="5" t="s">
        <v>9</v>
      </c>
      <c r="XFD11"/>
    </row>
    <row r="12" spans="1:16 16384:16384" s="5" customFormat="1">
      <c r="A12" s="5" t="s">
        <v>945</v>
      </c>
      <c r="B12" s="5" t="s">
        <v>1632</v>
      </c>
      <c r="C12" s="5" t="s">
        <v>1197</v>
      </c>
      <c r="D12" s="5">
        <v>14108</v>
      </c>
      <c r="E12" s="5" t="s">
        <v>3</v>
      </c>
      <c r="F12" s="6">
        <v>42719</v>
      </c>
      <c r="G12" s="5" t="s">
        <v>194</v>
      </c>
      <c r="H12" s="5" t="s">
        <v>195</v>
      </c>
      <c r="I12" s="5" t="s">
        <v>196</v>
      </c>
      <c r="J12" s="5" t="s">
        <v>0</v>
      </c>
      <c r="K12" s="5" t="s">
        <v>1</v>
      </c>
      <c r="L12" s="5" t="s">
        <v>2</v>
      </c>
      <c r="M12" s="5" t="s">
        <v>933</v>
      </c>
      <c r="N12" s="5" t="s">
        <v>197</v>
      </c>
      <c r="O12" s="5" t="s">
        <v>174</v>
      </c>
      <c r="P12" s="5" t="s">
        <v>9</v>
      </c>
      <c r="XFD12"/>
    </row>
    <row r="13" spans="1:16 16384:16384" s="5" customFormat="1">
      <c r="A13" s="5" t="s">
        <v>945</v>
      </c>
      <c r="B13" s="5" t="s">
        <v>1633</v>
      </c>
      <c r="C13" s="5" t="s">
        <v>1197</v>
      </c>
      <c r="D13" s="5">
        <v>14120</v>
      </c>
      <c r="E13" s="5" t="s">
        <v>3</v>
      </c>
      <c r="F13" s="6">
        <v>42719</v>
      </c>
      <c r="G13" s="5" t="s">
        <v>198</v>
      </c>
      <c r="H13" s="5" t="s">
        <v>171</v>
      </c>
      <c r="I13" s="5" t="s">
        <v>172</v>
      </c>
      <c r="J13" s="5" t="s">
        <v>0</v>
      </c>
      <c r="K13" s="5" t="s">
        <v>1</v>
      </c>
      <c r="L13" s="5" t="s">
        <v>2</v>
      </c>
      <c r="M13" s="5" t="s">
        <v>933</v>
      </c>
      <c r="N13" s="5" t="s">
        <v>199</v>
      </c>
      <c r="O13" s="5" t="s">
        <v>174</v>
      </c>
      <c r="P13" s="5" t="s">
        <v>9</v>
      </c>
      <c r="XFD13"/>
    </row>
    <row r="14" spans="1:16 16384:16384" s="5" customFormat="1">
      <c r="A14" s="5" t="s">
        <v>945</v>
      </c>
      <c r="B14" s="5" t="s">
        <v>1634</v>
      </c>
      <c r="C14" s="5" t="s">
        <v>1197</v>
      </c>
      <c r="D14" s="5">
        <v>14125</v>
      </c>
      <c r="E14" s="5" t="s">
        <v>3</v>
      </c>
      <c r="F14" s="6">
        <v>42719</v>
      </c>
      <c r="G14" s="5" t="s">
        <v>198</v>
      </c>
      <c r="H14" s="5" t="s">
        <v>171</v>
      </c>
      <c r="I14" s="5" t="s">
        <v>172</v>
      </c>
      <c r="J14" s="5" t="s">
        <v>0</v>
      </c>
      <c r="K14" s="5" t="s">
        <v>1</v>
      </c>
      <c r="L14" s="5" t="s">
        <v>2</v>
      </c>
      <c r="M14" s="5" t="s">
        <v>933</v>
      </c>
      <c r="N14" s="5" t="s">
        <v>200</v>
      </c>
      <c r="O14" s="5" t="s">
        <v>174</v>
      </c>
      <c r="P14" s="5" t="s">
        <v>9</v>
      </c>
      <c r="XFD14"/>
    </row>
    <row r="15" spans="1:16 16384:16384" s="5" customFormat="1">
      <c r="A15" s="5" t="s">
        <v>945</v>
      </c>
      <c r="B15" s="5" t="s">
        <v>1635</v>
      </c>
      <c r="C15" s="5" t="s">
        <v>1197</v>
      </c>
      <c r="D15" s="5">
        <v>36641</v>
      </c>
      <c r="E15" s="5" t="s">
        <v>86</v>
      </c>
      <c r="F15" s="6">
        <v>42719</v>
      </c>
      <c r="G15" s="5" t="s">
        <v>213</v>
      </c>
      <c r="H15" s="5" t="s">
        <v>214</v>
      </c>
      <c r="I15" s="5" t="s">
        <v>215</v>
      </c>
      <c r="J15" s="5" t="s">
        <v>0</v>
      </c>
      <c r="K15" s="5" t="s">
        <v>1</v>
      </c>
      <c r="L15" s="5" t="s">
        <v>2</v>
      </c>
      <c r="M15" s="5" t="s">
        <v>933</v>
      </c>
      <c r="N15" s="5" t="s">
        <v>216</v>
      </c>
      <c r="O15" s="5" t="s">
        <v>174</v>
      </c>
      <c r="P15" s="5" t="s">
        <v>9</v>
      </c>
      <c r="XFD15"/>
    </row>
    <row r="16" spans="1:16 16384:16384" s="5" customFormat="1">
      <c r="A16" s="5" t="s">
        <v>945</v>
      </c>
      <c r="B16" s="5" t="s">
        <v>1636</v>
      </c>
      <c r="C16" s="5" t="s">
        <v>1197</v>
      </c>
      <c r="D16" s="5">
        <v>36642</v>
      </c>
      <c r="E16" s="5" t="s">
        <v>24</v>
      </c>
      <c r="F16" s="6">
        <v>42719</v>
      </c>
      <c r="G16" s="5" t="s">
        <v>217</v>
      </c>
      <c r="H16" s="5" t="s">
        <v>171</v>
      </c>
      <c r="I16" s="5" t="s">
        <v>172</v>
      </c>
      <c r="J16" s="5" t="s">
        <v>0</v>
      </c>
      <c r="K16" s="5" t="s">
        <v>1</v>
      </c>
      <c r="L16" s="5" t="s">
        <v>2</v>
      </c>
      <c r="M16" s="5" t="s">
        <v>933</v>
      </c>
      <c r="N16" s="5" t="s">
        <v>218</v>
      </c>
      <c r="O16" s="5" t="s">
        <v>174</v>
      </c>
      <c r="P16" s="5" t="s">
        <v>9</v>
      </c>
      <c r="XFD16"/>
    </row>
    <row r="17" spans="1:16 16384:16384" s="5" customFormat="1">
      <c r="A17" s="5" t="s">
        <v>945</v>
      </c>
      <c r="B17" s="5" t="s">
        <v>1637</v>
      </c>
      <c r="C17" s="5" t="s">
        <v>1197</v>
      </c>
      <c r="D17" s="5">
        <v>37375</v>
      </c>
      <c r="E17" s="5" t="s">
        <v>65</v>
      </c>
      <c r="F17" s="6">
        <v>42719</v>
      </c>
      <c r="G17" s="5" t="s">
        <v>222</v>
      </c>
      <c r="H17" s="5" t="s">
        <v>214</v>
      </c>
      <c r="I17" s="5" t="s">
        <v>215</v>
      </c>
      <c r="J17" s="5" t="s">
        <v>0</v>
      </c>
      <c r="K17" s="5" t="s">
        <v>1</v>
      </c>
      <c r="L17" s="5" t="s">
        <v>2</v>
      </c>
      <c r="M17" s="5" t="s">
        <v>933</v>
      </c>
      <c r="N17" s="5" t="s">
        <v>223</v>
      </c>
      <c r="O17" s="5" t="s">
        <v>174</v>
      </c>
      <c r="P17" s="5" t="s">
        <v>9</v>
      </c>
      <c r="XFD17"/>
    </row>
    <row r="18" spans="1:16 16384:16384" s="5" customFormat="1">
      <c r="A18" s="5" t="s">
        <v>945</v>
      </c>
      <c r="B18" s="5" t="s">
        <v>1638</v>
      </c>
      <c r="C18" s="5" t="s">
        <v>1197</v>
      </c>
      <c r="D18" s="5">
        <v>42817</v>
      </c>
      <c r="E18" s="5" t="s">
        <v>65</v>
      </c>
      <c r="F18" s="6">
        <v>42719</v>
      </c>
      <c r="G18" s="5" t="s">
        <v>222</v>
      </c>
      <c r="H18" s="5" t="s">
        <v>214</v>
      </c>
      <c r="I18" s="5" t="s">
        <v>215</v>
      </c>
      <c r="J18" s="5" t="s">
        <v>0</v>
      </c>
      <c r="K18" s="5" t="s">
        <v>1</v>
      </c>
      <c r="L18" s="5" t="s">
        <v>2</v>
      </c>
      <c r="M18" s="5" t="s">
        <v>933</v>
      </c>
      <c r="N18" s="5" t="s">
        <v>379</v>
      </c>
      <c r="O18" s="5" t="s">
        <v>174</v>
      </c>
      <c r="P18" s="5" t="s">
        <v>9</v>
      </c>
      <c r="XFD18"/>
    </row>
    <row r="19" spans="1:16 16384:16384" s="5" customFormat="1">
      <c r="A19" s="5" t="s">
        <v>945</v>
      </c>
      <c r="B19" s="5" t="s">
        <v>1639</v>
      </c>
      <c r="C19" s="5" t="s">
        <v>1197</v>
      </c>
      <c r="D19" s="5">
        <v>42819</v>
      </c>
      <c r="E19" s="5" t="s">
        <v>65</v>
      </c>
      <c r="F19" s="6">
        <v>42719</v>
      </c>
      <c r="G19" s="5" t="s">
        <v>222</v>
      </c>
      <c r="H19" s="5" t="s">
        <v>214</v>
      </c>
      <c r="I19" s="5" t="s">
        <v>215</v>
      </c>
      <c r="J19" s="5" t="s">
        <v>0</v>
      </c>
      <c r="K19" s="5" t="s">
        <v>1</v>
      </c>
      <c r="L19" s="5" t="s">
        <v>2</v>
      </c>
      <c r="M19" s="5" t="s">
        <v>933</v>
      </c>
      <c r="N19" s="5" t="s">
        <v>380</v>
      </c>
      <c r="O19" s="5" t="s">
        <v>174</v>
      </c>
      <c r="P19" s="5" t="s">
        <v>9</v>
      </c>
      <c r="XFD19"/>
    </row>
    <row r="20" spans="1:16 16384:16384" s="5" customFormat="1">
      <c r="A20" s="5" t="s">
        <v>945</v>
      </c>
      <c r="B20" s="5" t="s">
        <v>1640</v>
      </c>
      <c r="C20" s="5" t="s">
        <v>1197</v>
      </c>
      <c r="D20" s="5">
        <v>42821</v>
      </c>
      <c r="E20" s="5" t="s">
        <v>65</v>
      </c>
      <c r="F20" s="6">
        <v>42719</v>
      </c>
      <c r="G20" s="5" t="s">
        <v>222</v>
      </c>
      <c r="H20" s="5" t="s">
        <v>214</v>
      </c>
      <c r="I20" s="5" t="s">
        <v>215</v>
      </c>
      <c r="J20" s="5" t="s">
        <v>0</v>
      </c>
      <c r="K20" s="5" t="s">
        <v>1</v>
      </c>
      <c r="L20" s="5" t="s">
        <v>2</v>
      </c>
      <c r="M20" s="5" t="s">
        <v>933</v>
      </c>
      <c r="N20" s="5" t="s">
        <v>381</v>
      </c>
      <c r="O20" s="5" t="s">
        <v>174</v>
      </c>
      <c r="P20" s="5" t="s">
        <v>9</v>
      </c>
      <c r="XFD20"/>
    </row>
    <row r="21" spans="1:16 16384:16384" s="5" customFormat="1">
      <c r="A21" s="5" t="s">
        <v>945</v>
      </c>
      <c r="B21" s="5" t="s">
        <v>1641</v>
      </c>
      <c r="C21" s="5" t="s">
        <v>1197</v>
      </c>
      <c r="D21" s="5">
        <v>42822</v>
      </c>
      <c r="E21" s="5" t="s">
        <v>24</v>
      </c>
      <c r="F21" s="6">
        <v>42719</v>
      </c>
      <c r="G21" s="5" t="s">
        <v>382</v>
      </c>
      <c r="H21" s="5" t="s">
        <v>195</v>
      </c>
      <c r="I21" s="5" t="s">
        <v>196</v>
      </c>
      <c r="J21" s="5" t="s">
        <v>0</v>
      </c>
      <c r="K21" s="5" t="s">
        <v>1</v>
      </c>
      <c r="L21" s="5" t="s">
        <v>2</v>
      </c>
      <c r="M21" s="5" t="s">
        <v>933</v>
      </c>
      <c r="N21" s="5" t="s">
        <v>383</v>
      </c>
      <c r="O21" s="5" t="s">
        <v>174</v>
      </c>
      <c r="P21" s="5" t="s">
        <v>9</v>
      </c>
      <c r="XFD21"/>
    </row>
    <row r="22" spans="1:16 16384:16384" s="5" customFormat="1">
      <c r="A22" s="5" t="s">
        <v>945</v>
      </c>
      <c r="B22" s="5" t="s">
        <v>1642</v>
      </c>
      <c r="C22" s="5" t="s">
        <v>1197</v>
      </c>
      <c r="D22" s="5">
        <v>42823</v>
      </c>
      <c r="E22" s="5" t="s">
        <v>65</v>
      </c>
      <c r="F22" s="6">
        <v>42719</v>
      </c>
      <c r="G22" s="5" t="s">
        <v>222</v>
      </c>
      <c r="H22" s="5" t="s">
        <v>214</v>
      </c>
      <c r="I22" s="5" t="s">
        <v>215</v>
      </c>
      <c r="J22" s="5" t="s">
        <v>0</v>
      </c>
      <c r="K22" s="5" t="s">
        <v>1</v>
      </c>
      <c r="L22" s="5" t="s">
        <v>2</v>
      </c>
      <c r="M22" s="5" t="s">
        <v>933</v>
      </c>
      <c r="N22" s="5" t="s">
        <v>384</v>
      </c>
      <c r="O22" s="5" t="s">
        <v>174</v>
      </c>
      <c r="P22" s="5" t="s">
        <v>9</v>
      </c>
      <c r="XFD22"/>
    </row>
    <row r="23" spans="1:16 16384:16384" s="5" customFormat="1">
      <c r="A23" s="5" t="s">
        <v>945</v>
      </c>
      <c r="B23" s="5" t="s">
        <v>1643</v>
      </c>
      <c r="C23" s="5" t="s">
        <v>1197</v>
      </c>
      <c r="D23" s="5">
        <v>42838</v>
      </c>
      <c r="E23" s="5" t="s">
        <v>3</v>
      </c>
      <c r="F23" s="6">
        <v>42719</v>
      </c>
      <c r="G23" s="5" t="s">
        <v>385</v>
      </c>
      <c r="H23" s="5" t="s">
        <v>171</v>
      </c>
      <c r="I23" s="5" t="s">
        <v>172</v>
      </c>
      <c r="J23" s="5" t="s">
        <v>0</v>
      </c>
      <c r="K23" s="5" t="s">
        <v>1</v>
      </c>
      <c r="L23" s="5" t="s">
        <v>2</v>
      </c>
      <c r="M23" s="5" t="s">
        <v>933</v>
      </c>
      <c r="N23" s="5" t="s">
        <v>386</v>
      </c>
      <c r="O23" s="5" t="s">
        <v>174</v>
      </c>
      <c r="P23" s="5" t="s">
        <v>9</v>
      </c>
      <c r="XFD23"/>
    </row>
    <row r="24" spans="1:16 16384:16384" s="5" customFormat="1">
      <c r="A24" s="5" t="s">
        <v>945</v>
      </c>
      <c r="B24" s="5" t="s">
        <v>1644</v>
      </c>
      <c r="C24" s="5" t="s">
        <v>1197</v>
      </c>
      <c r="D24" s="5">
        <v>42843</v>
      </c>
      <c r="E24" s="5" t="s">
        <v>65</v>
      </c>
      <c r="F24" s="6">
        <v>42719</v>
      </c>
      <c r="G24" s="5" t="s">
        <v>222</v>
      </c>
      <c r="H24" s="5" t="s">
        <v>214</v>
      </c>
      <c r="I24" s="5" t="s">
        <v>215</v>
      </c>
      <c r="J24" s="5" t="s">
        <v>0</v>
      </c>
      <c r="K24" s="5" t="s">
        <v>1</v>
      </c>
      <c r="L24" s="5" t="s">
        <v>2</v>
      </c>
      <c r="M24" s="5" t="s">
        <v>933</v>
      </c>
      <c r="N24" s="5" t="s">
        <v>387</v>
      </c>
      <c r="O24" s="5" t="s">
        <v>174</v>
      </c>
      <c r="P24" s="5" t="s">
        <v>9</v>
      </c>
      <c r="XFD24"/>
    </row>
    <row r="25" spans="1:16 16384:16384" s="5" customFormat="1">
      <c r="A25" s="5" t="s">
        <v>945</v>
      </c>
      <c r="B25" s="5" t="s">
        <v>1645</v>
      </c>
      <c r="C25" s="5" t="s">
        <v>1197</v>
      </c>
      <c r="D25" s="5">
        <v>42853</v>
      </c>
      <c r="E25" s="5" t="s">
        <v>65</v>
      </c>
      <c r="F25" s="6">
        <v>42719</v>
      </c>
      <c r="G25" s="5" t="s">
        <v>222</v>
      </c>
      <c r="H25" s="5" t="s">
        <v>214</v>
      </c>
      <c r="I25" s="5" t="s">
        <v>215</v>
      </c>
      <c r="J25" s="5" t="s">
        <v>0</v>
      </c>
      <c r="K25" s="5" t="s">
        <v>1</v>
      </c>
      <c r="L25" s="5" t="s">
        <v>2</v>
      </c>
      <c r="M25" s="5" t="s">
        <v>933</v>
      </c>
      <c r="N25" s="5" t="s">
        <v>388</v>
      </c>
      <c r="O25" s="5" t="s">
        <v>174</v>
      </c>
      <c r="P25" s="5" t="s">
        <v>9</v>
      </c>
      <c r="XFD25"/>
    </row>
    <row r="26" spans="1:16 16384:16384" s="5" customFormat="1">
      <c r="A26" s="5" t="s">
        <v>945</v>
      </c>
      <c r="B26" s="5" t="s">
        <v>1646</v>
      </c>
      <c r="C26" s="5" t="s">
        <v>1197</v>
      </c>
      <c r="D26" s="5">
        <v>42864</v>
      </c>
      <c r="E26" s="5" t="s">
        <v>65</v>
      </c>
      <c r="F26" s="6">
        <v>42719</v>
      </c>
      <c r="G26" s="5" t="s">
        <v>222</v>
      </c>
      <c r="H26" s="5" t="s">
        <v>214</v>
      </c>
      <c r="I26" s="5" t="s">
        <v>215</v>
      </c>
      <c r="J26" s="5" t="s">
        <v>0</v>
      </c>
      <c r="K26" s="5" t="s">
        <v>1</v>
      </c>
      <c r="L26" s="5" t="s">
        <v>2</v>
      </c>
      <c r="M26" s="5" t="s">
        <v>933</v>
      </c>
      <c r="N26" s="5" t="s">
        <v>389</v>
      </c>
      <c r="O26" s="5" t="s">
        <v>174</v>
      </c>
      <c r="P26" s="5" t="s">
        <v>9</v>
      </c>
      <c r="XFD26"/>
    </row>
    <row r="27" spans="1:16 16384:16384" s="5" customFormat="1">
      <c r="A27" s="5" t="s">
        <v>945</v>
      </c>
      <c r="B27" s="5" t="s">
        <v>1647</v>
      </c>
      <c r="C27" s="5" t="s">
        <v>1197</v>
      </c>
      <c r="D27" s="5">
        <v>42869</v>
      </c>
      <c r="E27" s="5" t="s">
        <v>65</v>
      </c>
      <c r="F27" s="6">
        <v>42719</v>
      </c>
      <c r="G27" s="5" t="s">
        <v>222</v>
      </c>
      <c r="H27" s="5" t="s">
        <v>214</v>
      </c>
      <c r="I27" s="5" t="s">
        <v>215</v>
      </c>
      <c r="J27" s="5" t="s">
        <v>0</v>
      </c>
      <c r="K27" s="5" t="s">
        <v>1</v>
      </c>
      <c r="L27" s="5" t="s">
        <v>2</v>
      </c>
      <c r="M27" s="5" t="s">
        <v>933</v>
      </c>
      <c r="N27" s="5" t="s">
        <v>390</v>
      </c>
      <c r="O27" s="5" t="s">
        <v>174</v>
      </c>
      <c r="P27" s="5" t="s">
        <v>9</v>
      </c>
      <c r="XFD27"/>
    </row>
    <row r="28" spans="1:16 16384:16384" s="5" customFormat="1">
      <c r="A28" s="5" t="s">
        <v>945</v>
      </c>
      <c r="B28" s="5" t="s">
        <v>1648</v>
      </c>
      <c r="C28" s="5" t="s">
        <v>1197</v>
      </c>
      <c r="D28" s="5">
        <v>42875</v>
      </c>
      <c r="E28" s="5" t="s">
        <v>3</v>
      </c>
      <c r="F28" s="6">
        <v>42719</v>
      </c>
      <c r="G28" s="5" t="s">
        <v>198</v>
      </c>
      <c r="H28" s="5" t="s">
        <v>171</v>
      </c>
      <c r="I28" s="5" t="s">
        <v>172</v>
      </c>
      <c r="J28" s="5" t="s">
        <v>0</v>
      </c>
      <c r="K28" s="5" t="s">
        <v>1</v>
      </c>
      <c r="L28" s="5" t="s">
        <v>2</v>
      </c>
      <c r="M28" s="5" t="s">
        <v>933</v>
      </c>
      <c r="N28" s="5" t="s">
        <v>391</v>
      </c>
      <c r="O28" s="5" t="s">
        <v>174</v>
      </c>
      <c r="P28" s="5" t="s">
        <v>9</v>
      </c>
      <c r="XFD28"/>
    </row>
    <row r="29" spans="1:16 16384:16384" s="5" customFormat="1">
      <c r="A29" s="5" t="s">
        <v>945</v>
      </c>
      <c r="B29" s="5" t="s">
        <v>1649</v>
      </c>
      <c r="C29" s="5" t="s">
        <v>1197</v>
      </c>
      <c r="D29" s="5">
        <v>42884</v>
      </c>
      <c r="E29" s="5" t="s">
        <v>65</v>
      </c>
      <c r="F29" s="6">
        <v>42719</v>
      </c>
      <c r="G29" s="5" t="s">
        <v>392</v>
      </c>
      <c r="H29" s="5" t="s">
        <v>214</v>
      </c>
      <c r="I29" s="5" t="s">
        <v>215</v>
      </c>
      <c r="J29" s="5" t="s">
        <v>0</v>
      </c>
      <c r="K29" s="5" t="s">
        <v>1</v>
      </c>
      <c r="L29" s="5" t="s">
        <v>2</v>
      </c>
      <c r="M29" s="5" t="s">
        <v>933</v>
      </c>
      <c r="N29" s="5" t="s">
        <v>393</v>
      </c>
      <c r="O29" s="5" t="s">
        <v>174</v>
      </c>
      <c r="P29" s="5" t="s">
        <v>9</v>
      </c>
      <c r="XFD29"/>
    </row>
    <row r="30" spans="1:16 16384:16384" s="5" customFormat="1">
      <c r="A30" s="5" t="s">
        <v>945</v>
      </c>
      <c r="B30" s="5" t="s">
        <v>1650</v>
      </c>
      <c r="C30" s="5" t="s">
        <v>1197</v>
      </c>
      <c r="D30" s="5">
        <v>42885</v>
      </c>
      <c r="E30" s="5" t="s">
        <v>3</v>
      </c>
      <c r="F30" s="6">
        <v>42719</v>
      </c>
      <c r="G30" s="5" t="s">
        <v>187</v>
      </c>
      <c r="H30" s="5" t="s">
        <v>171</v>
      </c>
      <c r="I30" s="5" t="s">
        <v>172</v>
      </c>
      <c r="J30" s="5" t="s">
        <v>0</v>
      </c>
      <c r="K30" s="5" t="s">
        <v>1</v>
      </c>
      <c r="L30" s="5" t="s">
        <v>2</v>
      </c>
      <c r="M30" s="5" t="s">
        <v>933</v>
      </c>
      <c r="N30" s="5" t="s">
        <v>394</v>
      </c>
      <c r="O30" s="5" t="s">
        <v>174</v>
      </c>
      <c r="P30" s="5" t="s">
        <v>9</v>
      </c>
      <c r="XFD30"/>
    </row>
    <row r="31" spans="1:16 16384:16384" s="5" customFormat="1">
      <c r="A31" s="5" t="s">
        <v>945</v>
      </c>
      <c r="B31" s="5" t="s">
        <v>1651</v>
      </c>
      <c r="C31" s="5" t="s">
        <v>1197</v>
      </c>
      <c r="D31" s="5">
        <v>42900</v>
      </c>
      <c r="E31" s="5" t="s">
        <v>86</v>
      </c>
      <c r="F31" s="6">
        <v>42719</v>
      </c>
      <c r="G31" s="5" t="s">
        <v>395</v>
      </c>
      <c r="H31" s="5" t="s">
        <v>214</v>
      </c>
      <c r="I31" s="5" t="s">
        <v>215</v>
      </c>
      <c r="J31" s="5" t="s">
        <v>0</v>
      </c>
      <c r="K31" s="5" t="s">
        <v>1</v>
      </c>
      <c r="L31" s="5" t="s">
        <v>2</v>
      </c>
      <c r="M31" s="5" t="s">
        <v>933</v>
      </c>
      <c r="N31" s="5" t="s">
        <v>396</v>
      </c>
      <c r="O31" s="5" t="s">
        <v>174</v>
      </c>
      <c r="P31" s="5" t="s">
        <v>9</v>
      </c>
      <c r="XFD31"/>
    </row>
    <row r="32" spans="1:16 16384:16384" s="5" customFormat="1">
      <c r="A32" s="5" t="s">
        <v>945</v>
      </c>
      <c r="B32" s="5" t="s">
        <v>1652</v>
      </c>
      <c r="C32" s="5" t="s">
        <v>1197</v>
      </c>
      <c r="D32" s="5">
        <v>42910</v>
      </c>
      <c r="E32" s="5" t="s">
        <v>3</v>
      </c>
      <c r="F32" s="6">
        <v>42719</v>
      </c>
      <c r="G32" s="5" t="s">
        <v>397</v>
      </c>
      <c r="H32" s="5" t="s">
        <v>398</v>
      </c>
      <c r="I32" s="5" t="s">
        <v>399</v>
      </c>
      <c r="J32" s="5" t="s">
        <v>0</v>
      </c>
      <c r="K32" s="5" t="s">
        <v>1</v>
      </c>
      <c r="L32" s="5" t="s">
        <v>2</v>
      </c>
      <c r="M32" s="5" t="s">
        <v>933</v>
      </c>
      <c r="N32" s="5" t="s">
        <v>400</v>
      </c>
      <c r="O32" s="5" t="s">
        <v>174</v>
      </c>
      <c r="P32" s="5" t="s">
        <v>9</v>
      </c>
      <c r="XFD32"/>
    </row>
    <row r="33" spans="1:16 16384:16384" s="5" customFormat="1">
      <c r="A33" s="5" t="s">
        <v>945</v>
      </c>
      <c r="B33" s="5" t="s">
        <v>1653</v>
      </c>
      <c r="C33" s="5" t="s">
        <v>1197</v>
      </c>
      <c r="D33" s="5">
        <v>42911</v>
      </c>
      <c r="E33" s="5" t="s">
        <v>65</v>
      </c>
      <c r="F33" s="6">
        <v>42719</v>
      </c>
      <c r="G33" s="5" t="s">
        <v>222</v>
      </c>
      <c r="H33" s="5" t="s">
        <v>214</v>
      </c>
      <c r="I33" s="5" t="s">
        <v>215</v>
      </c>
      <c r="J33" s="5" t="s">
        <v>0</v>
      </c>
      <c r="K33" s="5" t="s">
        <v>1</v>
      </c>
      <c r="L33" s="5" t="s">
        <v>2</v>
      </c>
      <c r="M33" s="5" t="s">
        <v>933</v>
      </c>
      <c r="N33" s="5" t="s">
        <v>401</v>
      </c>
      <c r="O33" s="5" t="s">
        <v>174</v>
      </c>
      <c r="P33" s="5" t="s">
        <v>9</v>
      </c>
      <c r="XFD33"/>
    </row>
    <row r="34" spans="1:16 16384:16384" s="5" customFormat="1">
      <c r="A34" s="5" t="s">
        <v>945</v>
      </c>
      <c r="B34" s="5" t="s">
        <v>1654</v>
      </c>
      <c r="C34" s="5" t="s">
        <v>1197</v>
      </c>
      <c r="D34" s="5">
        <v>42913</v>
      </c>
      <c r="E34" s="5" t="s">
        <v>24</v>
      </c>
      <c r="F34" s="6">
        <v>42719</v>
      </c>
      <c r="G34" s="5" t="s">
        <v>402</v>
      </c>
      <c r="H34" s="5" t="s">
        <v>171</v>
      </c>
      <c r="I34" s="5" t="s">
        <v>172</v>
      </c>
      <c r="J34" s="5" t="s">
        <v>0</v>
      </c>
      <c r="K34" s="5" t="s">
        <v>1</v>
      </c>
      <c r="L34" s="5" t="s">
        <v>2</v>
      </c>
      <c r="M34" s="5" t="s">
        <v>933</v>
      </c>
      <c r="N34" s="5" t="s">
        <v>403</v>
      </c>
      <c r="O34" s="5" t="s">
        <v>174</v>
      </c>
      <c r="P34" s="5" t="s">
        <v>9</v>
      </c>
      <c r="XFD34"/>
    </row>
    <row r="35" spans="1:16 16384:16384" s="5" customFormat="1">
      <c r="A35" s="5" t="s">
        <v>945</v>
      </c>
      <c r="B35" s="5" t="s">
        <v>1655</v>
      </c>
      <c r="C35" s="5" t="s">
        <v>1197</v>
      </c>
      <c r="D35" s="5">
        <v>42915</v>
      </c>
      <c r="E35" s="5" t="s">
        <v>65</v>
      </c>
      <c r="F35" s="6">
        <v>42719</v>
      </c>
      <c r="G35" s="5" t="s">
        <v>222</v>
      </c>
      <c r="H35" s="5" t="s">
        <v>214</v>
      </c>
      <c r="I35" s="5" t="s">
        <v>215</v>
      </c>
      <c r="J35" s="5" t="s">
        <v>0</v>
      </c>
      <c r="K35" s="5" t="s">
        <v>1</v>
      </c>
      <c r="L35" s="5" t="s">
        <v>2</v>
      </c>
      <c r="M35" s="5" t="s">
        <v>933</v>
      </c>
      <c r="N35" s="5" t="s">
        <v>404</v>
      </c>
      <c r="O35" s="5" t="s">
        <v>174</v>
      </c>
      <c r="P35" s="5" t="s">
        <v>9</v>
      </c>
      <c r="XFD35"/>
    </row>
    <row r="36" spans="1:16 16384:16384" s="5" customFormat="1">
      <c r="A36" s="5" t="s">
        <v>945</v>
      </c>
      <c r="B36" s="5" t="s">
        <v>1656</v>
      </c>
      <c r="C36" s="5" t="s">
        <v>1197</v>
      </c>
      <c r="D36" s="5">
        <v>42918</v>
      </c>
      <c r="E36" s="5" t="s">
        <v>65</v>
      </c>
      <c r="F36" s="6">
        <v>42719</v>
      </c>
      <c r="G36" s="5" t="s">
        <v>222</v>
      </c>
      <c r="H36" s="5" t="s">
        <v>214</v>
      </c>
      <c r="I36" s="5" t="s">
        <v>215</v>
      </c>
      <c r="J36" s="5" t="s">
        <v>0</v>
      </c>
      <c r="K36" s="5" t="s">
        <v>1</v>
      </c>
      <c r="L36" s="5" t="s">
        <v>2</v>
      </c>
      <c r="M36" s="5" t="s">
        <v>933</v>
      </c>
      <c r="N36" s="5" t="s">
        <v>405</v>
      </c>
      <c r="O36" s="5" t="s">
        <v>174</v>
      </c>
      <c r="P36" s="5" t="s">
        <v>9</v>
      </c>
      <c r="XFD36"/>
    </row>
    <row r="37" spans="1:16 16384:16384" s="5" customFormat="1">
      <c r="A37" s="5" t="s">
        <v>945</v>
      </c>
      <c r="B37" s="5" t="s">
        <v>1657</v>
      </c>
      <c r="C37" s="5" t="s">
        <v>1197</v>
      </c>
      <c r="D37" s="5">
        <v>42922</v>
      </c>
      <c r="E37" s="5" t="s">
        <v>3</v>
      </c>
      <c r="F37" s="6">
        <v>42719</v>
      </c>
      <c r="G37" s="5" t="s">
        <v>179</v>
      </c>
      <c r="H37" s="5" t="s">
        <v>171</v>
      </c>
      <c r="I37" s="5" t="s">
        <v>172</v>
      </c>
      <c r="J37" s="5" t="s">
        <v>0</v>
      </c>
      <c r="K37" s="5" t="s">
        <v>1</v>
      </c>
      <c r="L37" s="5" t="s">
        <v>2</v>
      </c>
      <c r="M37" s="5" t="s">
        <v>933</v>
      </c>
      <c r="N37" s="5" t="s">
        <v>406</v>
      </c>
      <c r="O37" s="5" t="s">
        <v>174</v>
      </c>
      <c r="P37" s="5" t="s">
        <v>9</v>
      </c>
      <c r="XFD37"/>
    </row>
    <row r="38" spans="1:16 16384:16384" s="5" customFormat="1">
      <c r="A38" s="5" t="s">
        <v>945</v>
      </c>
      <c r="B38" s="5" t="s">
        <v>1658</v>
      </c>
      <c r="C38" s="5" t="s">
        <v>1197</v>
      </c>
      <c r="D38" s="5">
        <v>42931</v>
      </c>
      <c r="E38" s="5" t="s">
        <v>65</v>
      </c>
      <c r="F38" s="6">
        <v>42719</v>
      </c>
      <c r="G38" s="5" t="s">
        <v>222</v>
      </c>
      <c r="H38" s="5" t="s">
        <v>214</v>
      </c>
      <c r="I38" s="5" t="s">
        <v>215</v>
      </c>
      <c r="J38" s="5" t="s">
        <v>0</v>
      </c>
      <c r="K38" s="5" t="s">
        <v>1</v>
      </c>
      <c r="L38" s="5" t="s">
        <v>2</v>
      </c>
      <c r="M38" s="5" t="s">
        <v>933</v>
      </c>
      <c r="N38" s="5" t="s">
        <v>407</v>
      </c>
      <c r="O38" s="5" t="s">
        <v>174</v>
      </c>
      <c r="P38" s="5" t="s">
        <v>9</v>
      </c>
      <c r="XFD38"/>
    </row>
    <row r="39" spans="1:16 16384:16384" s="5" customFormat="1">
      <c r="A39" s="5" t="s">
        <v>945</v>
      </c>
      <c r="B39" s="5" t="s">
        <v>1659</v>
      </c>
      <c r="C39" s="5" t="s">
        <v>1197</v>
      </c>
      <c r="D39" s="5">
        <v>42934</v>
      </c>
      <c r="E39" s="5" t="s">
        <v>24</v>
      </c>
      <c r="F39" s="6">
        <v>42719</v>
      </c>
      <c r="G39" s="5" t="s">
        <v>408</v>
      </c>
      <c r="H39" s="5" t="s">
        <v>171</v>
      </c>
      <c r="I39" s="5" t="s">
        <v>172</v>
      </c>
      <c r="J39" s="5" t="s">
        <v>0</v>
      </c>
      <c r="K39" s="5" t="s">
        <v>1</v>
      </c>
      <c r="L39" s="5" t="s">
        <v>2</v>
      </c>
      <c r="M39" s="5" t="s">
        <v>933</v>
      </c>
      <c r="N39" s="5" t="s">
        <v>409</v>
      </c>
      <c r="O39" s="5" t="s">
        <v>174</v>
      </c>
      <c r="P39" s="5" t="s">
        <v>9</v>
      </c>
      <c r="XFD39"/>
    </row>
    <row r="40" spans="1:16 16384:16384" s="5" customFormat="1">
      <c r="A40" s="5" t="s">
        <v>945</v>
      </c>
      <c r="B40" s="5" t="s">
        <v>1660</v>
      </c>
      <c r="C40" s="5" t="s">
        <v>1197</v>
      </c>
      <c r="D40" s="5">
        <v>42939</v>
      </c>
      <c r="E40" s="5" t="s">
        <v>65</v>
      </c>
      <c r="F40" s="6">
        <v>42719</v>
      </c>
      <c r="G40" s="5" t="s">
        <v>222</v>
      </c>
      <c r="H40" s="5" t="s">
        <v>214</v>
      </c>
      <c r="I40" s="5" t="s">
        <v>215</v>
      </c>
      <c r="J40" s="5" t="s">
        <v>0</v>
      </c>
      <c r="K40" s="5" t="s">
        <v>1</v>
      </c>
      <c r="L40" s="5" t="s">
        <v>2</v>
      </c>
      <c r="M40" s="5" t="s">
        <v>933</v>
      </c>
      <c r="N40" s="5" t="s">
        <v>410</v>
      </c>
      <c r="O40" s="5" t="s">
        <v>174</v>
      </c>
      <c r="P40" s="5" t="s">
        <v>9</v>
      </c>
      <c r="XFD40"/>
    </row>
    <row r="41" spans="1:16 16384:16384" s="5" customFormat="1">
      <c r="A41" s="5" t="s">
        <v>945</v>
      </c>
      <c r="B41" s="5" t="s">
        <v>1661</v>
      </c>
      <c r="C41" s="5" t="s">
        <v>1197</v>
      </c>
      <c r="D41" s="5">
        <v>42941</v>
      </c>
      <c r="E41" s="5" t="s">
        <v>65</v>
      </c>
      <c r="F41" s="6">
        <v>42719</v>
      </c>
      <c r="G41" s="5" t="s">
        <v>222</v>
      </c>
      <c r="H41" s="5" t="s">
        <v>214</v>
      </c>
      <c r="I41" s="5" t="s">
        <v>215</v>
      </c>
      <c r="J41" s="5" t="s">
        <v>0</v>
      </c>
      <c r="K41" s="5" t="s">
        <v>1</v>
      </c>
      <c r="L41" s="5" t="s">
        <v>2</v>
      </c>
      <c r="M41" s="5" t="s">
        <v>933</v>
      </c>
      <c r="N41" s="5" t="s">
        <v>411</v>
      </c>
      <c r="O41" s="5" t="s">
        <v>174</v>
      </c>
      <c r="P41" s="5" t="s">
        <v>9</v>
      </c>
      <c r="XFD41"/>
    </row>
    <row r="42" spans="1:16 16384:16384" s="5" customFormat="1">
      <c r="A42" s="5" t="s">
        <v>945</v>
      </c>
      <c r="B42" s="5" t="s">
        <v>1662</v>
      </c>
      <c r="C42" s="5" t="s">
        <v>1197</v>
      </c>
      <c r="D42" s="5">
        <v>42942</v>
      </c>
      <c r="E42" s="5" t="s">
        <v>65</v>
      </c>
      <c r="F42" s="6">
        <v>42719</v>
      </c>
      <c r="G42" s="5" t="s">
        <v>222</v>
      </c>
      <c r="H42" s="5" t="s">
        <v>214</v>
      </c>
      <c r="I42" s="5" t="s">
        <v>215</v>
      </c>
      <c r="J42" s="5" t="s">
        <v>0</v>
      </c>
      <c r="K42" s="5" t="s">
        <v>1</v>
      </c>
      <c r="L42" s="5" t="s">
        <v>2</v>
      </c>
      <c r="M42" s="5" t="s">
        <v>933</v>
      </c>
      <c r="N42" s="5" t="s">
        <v>412</v>
      </c>
      <c r="O42" s="5" t="s">
        <v>174</v>
      </c>
      <c r="P42" s="5" t="s">
        <v>9</v>
      </c>
      <c r="XFD42"/>
    </row>
    <row r="43" spans="1:16 16384:16384" s="5" customFormat="1">
      <c r="A43" s="5" t="s">
        <v>945</v>
      </c>
      <c r="B43" s="5" t="s">
        <v>1663</v>
      </c>
      <c r="C43" s="5" t="s">
        <v>1197</v>
      </c>
      <c r="D43" s="5">
        <v>42944</v>
      </c>
      <c r="E43" s="5" t="s">
        <v>65</v>
      </c>
      <c r="F43" s="6">
        <v>42719</v>
      </c>
      <c r="G43" s="5" t="s">
        <v>222</v>
      </c>
      <c r="H43" s="5" t="s">
        <v>214</v>
      </c>
      <c r="I43" s="5" t="s">
        <v>215</v>
      </c>
      <c r="J43" s="5" t="s">
        <v>0</v>
      </c>
      <c r="K43" s="5" t="s">
        <v>1</v>
      </c>
      <c r="L43" s="5" t="s">
        <v>2</v>
      </c>
      <c r="M43" s="5" t="s">
        <v>933</v>
      </c>
      <c r="N43" s="5" t="s">
        <v>413</v>
      </c>
      <c r="O43" s="5" t="s">
        <v>174</v>
      </c>
      <c r="P43" s="5" t="s">
        <v>9</v>
      </c>
      <c r="XFD43"/>
    </row>
    <row r="44" spans="1:16 16384:16384" s="5" customFormat="1">
      <c r="A44" s="5" t="s">
        <v>945</v>
      </c>
      <c r="B44" s="5" t="s">
        <v>1664</v>
      </c>
      <c r="C44" s="5" t="s">
        <v>1197</v>
      </c>
      <c r="D44" s="5">
        <v>42945</v>
      </c>
      <c r="E44" s="5" t="s">
        <v>65</v>
      </c>
      <c r="F44" s="6">
        <v>42719</v>
      </c>
      <c r="G44" s="5" t="s">
        <v>414</v>
      </c>
      <c r="H44" s="5" t="s">
        <v>214</v>
      </c>
      <c r="I44" s="5" t="s">
        <v>215</v>
      </c>
      <c r="J44" s="5" t="s">
        <v>0</v>
      </c>
      <c r="K44" s="5" t="s">
        <v>1</v>
      </c>
      <c r="L44" s="5" t="s">
        <v>2</v>
      </c>
      <c r="M44" s="5" t="s">
        <v>933</v>
      </c>
      <c r="N44" s="5" t="s">
        <v>415</v>
      </c>
      <c r="O44" s="5" t="s">
        <v>174</v>
      </c>
      <c r="P44" s="5" t="s">
        <v>9</v>
      </c>
      <c r="XFD44"/>
    </row>
    <row r="45" spans="1:16 16384:16384" s="5" customFormat="1">
      <c r="A45" s="5" t="s">
        <v>945</v>
      </c>
      <c r="B45" s="5" t="s">
        <v>1665</v>
      </c>
      <c r="C45" s="5" t="s">
        <v>1197</v>
      </c>
      <c r="D45" s="5">
        <v>42946</v>
      </c>
      <c r="E45" s="5" t="s">
        <v>65</v>
      </c>
      <c r="F45" s="6">
        <v>42719</v>
      </c>
      <c r="G45" s="5" t="s">
        <v>222</v>
      </c>
      <c r="H45" s="5" t="s">
        <v>214</v>
      </c>
      <c r="I45" s="5" t="s">
        <v>215</v>
      </c>
      <c r="J45" s="5" t="s">
        <v>0</v>
      </c>
      <c r="K45" s="5" t="s">
        <v>1</v>
      </c>
      <c r="L45" s="5" t="s">
        <v>2</v>
      </c>
      <c r="M45" s="5" t="s">
        <v>933</v>
      </c>
      <c r="N45" s="5" t="s">
        <v>416</v>
      </c>
      <c r="O45" s="5" t="s">
        <v>174</v>
      </c>
      <c r="P45" s="5" t="s">
        <v>9</v>
      </c>
      <c r="XFD45"/>
    </row>
    <row r="46" spans="1:16 16384:16384" s="5" customFormat="1">
      <c r="A46" s="5" t="s">
        <v>945</v>
      </c>
      <c r="B46" s="5" t="s">
        <v>1666</v>
      </c>
      <c r="C46" s="5" t="s">
        <v>1197</v>
      </c>
      <c r="D46" s="5">
        <v>42949</v>
      </c>
      <c r="E46" s="5" t="s">
        <v>65</v>
      </c>
      <c r="F46" s="6">
        <v>42719</v>
      </c>
      <c r="G46" s="5" t="s">
        <v>222</v>
      </c>
      <c r="H46" s="5" t="s">
        <v>214</v>
      </c>
      <c r="I46" s="5" t="s">
        <v>215</v>
      </c>
      <c r="J46" s="5" t="s">
        <v>0</v>
      </c>
      <c r="K46" s="5" t="s">
        <v>1</v>
      </c>
      <c r="L46" s="5" t="s">
        <v>2</v>
      </c>
      <c r="M46" s="5" t="s">
        <v>933</v>
      </c>
      <c r="N46" s="5" t="s">
        <v>417</v>
      </c>
      <c r="O46" s="5" t="s">
        <v>174</v>
      </c>
      <c r="P46" s="5" t="s">
        <v>9</v>
      </c>
      <c r="XFD46"/>
    </row>
    <row r="47" spans="1:16 16384:16384" s="5" customFormat="1">
      <c r="A47" s="5" t="s">
        <v>945</v>
      </c>
      <c r="B47" s="5" t="s">
        <v>1667</v>
      </c>
      <c r="C47" s="5" t="s">
        <v>1197</v>
      </c>
      <c r="D47" s="5">
        <v>42950</v>
      </c>
      <c r="E47" s="5" t="s">
        <v>86</v>
      </c>
      <c r="F47" s="6">
        <v>42719</v>
      </c>
      <c r="G47" s="5" t="s">
        <v>418</v>
      </c>
      <c r="H47" s="5" t="s">
        <v>214</v>
      </c>
      <c r="I47" s="5" t="s">
        <v>215</v>
      </c>
      <c r="J47" s="5" t="s">
        <v>0</v>
      </c>
      <c r="K47" s="5" t="s">
        <v>1</v>
      </c>
      <c r="L47" s="5" t="s">
        <v>2</v>
      </c>
      <c r="M47" s="5" t="s">
        <v>933</v>
      </c>
      <c r="N47" s="5" t="s">
        <v>419</v>
      </c>
      <c r="O47" s="5" t="s">
        <v>174</v>
      </c>
      <c r="P47" s="5" t="s">
        <v>9</v>
      </c>
      <c r="XFD47"/>
    </row>
    <row r="48" spans="1:16 16384:16384" s="5" customFormat="1">
      <c r="A48" s="5" t="s">
        <v>945</v>
      </c>
      <c r="B48" s="5" t="s">
        <v>1668</v>
      </c>
      <c r="C48" s="5" t="s">
        <v>1197</v>
      </c>
      <c r="D48" s="5">
        <v>42952</v>
      </c>
      <c r="E48" s="5" t="s">
        <v>65</v>
      </c>
      <c r="F48" s="6">
        <v>42719</v>
      </c>
      <c r="G48" s="5" t="s">
        <v>414</v>
      </c>
      <c r="H48" s="5" t="s">
        <v>214</v>
      </c>
      <c r="I48" s="5" t="s">
        <v>215</v>
      </c>
      <c r="J48" s="5" t="s">
        <v>0</v>
      </c>
      <c r="K48" s="5" t="s">
        <v>1</v>
      </c>
      <c r="L48" s="5" t="s">
        <v>2</v>
      </c>
      <c r="M48" s="5" t="s">
        <v>933</v>
      </c>
      <c r="N48" s="5" t="s">
        <v>420</v>
      </c>
      <c r="O48" s="5" t="s">
        <v>174</v>
      </c>
      <c r="P48" s="5" t="s">
        <v>9</v>
      </c>
      <c r="XFD48"/>
    </row>
    <row r="49" spans="1:16 16384:16384" s="5" customFormat="1">
      <c r="A49" s="5" t="s">
        <v>945</v>
      </c>
      <c r="B49" s="5" t="s">
        <v>1669</v>
      </c>
      <c r="C49" s="5" t="s">
        <v>1197</v>
      </c>
      <c r="D49" s="5">
        <v>42953</v>
      </c>
      <c r="E49" s="5" t="s">
        <v>86</v>
      </c>
      <c r="F49" s="6">
        <v>42719</v>
      </c>
      <c r="G49" s="5" t="s">
        <v>421</v>
      </c>
      <c r="H49" s="5" t="s">
        <v>214</v>
      </c>
      <c r="I49" s="5" t="s">
        <v>215</v>
      </c>
      <c r="J49" s="5" t="s">
        <v>0</v>
      </c>
      <c r="K49" s="5" t="s">
        <v>1</v>
      </c>
      <c r="L49" s="5" t="s">
        <v>2</v>
      </c>
      <c r="M49" s="5" t="s">
        <v>933</v>
      </c>
      <c r="N49" s="5" t="s">
        <v>422</v>
      </c>
      <c r="O49" s="5" t="s">
        <v>174</v>
      </c>
      <c r="P49" s="5" t="s">
        <v>9</v>
      </c>
      <c r="XFD49"/>
    </row>
    <row r="50" spans="1:16 16384:16384" s="5" customFormat="1">
      <c r="A50" s="5" t="s">
        <v>945</v>
      </c>
      <c r="B50" s="5" t="s">
        <v>1670</v>
      </c>
      <c r="C50" s="5" t="s">
        <v>1197</v>
      </c>
      <c r="D50" s="5">
        <v>42956</v>
      </c>
      <c r="E50" s="5" t="s">
        <v>65</v>
      </c>
      <c r="F50" s="6">
        <v>42719</v>
      </c>
      <c r="G50" s="5" t="s">
        <v>222</v>
      </c>
      <c r="H50" s="5" t="s">
        <v>214</v>
      </c>
      <c r="I50" s="5" t="s">
        <v>215</v>
      </c>
      <c r="J50" s="5" t="s">
        <v>0</v>
      </c>
      <c r="K50" s="5" t="s">
        <v>1</v>
      </c>
      <c r="L50" s="5" t="s">
        <v>2</v>
      </c>
      <c r="M50" s="5" t="s">
        <v>933</v>
      </c>
      <c r="N50" s="5" t="s">
        <v>423</v>
      </c>
      <c r="O50" s="5" t="s">
        <v>174</v>
      </c>
      <c r="P50" s="5" t="s">
        <v>9</v>
      </c>
      <c r="XFD50"/>
    </row>
    <row r="51" spans="1:16 16384:16384" s="5" customFormat="1">
      <c r="A51" s="5" t="s">
        <v>945</v>
      </c>
      <c r="B51" s="5" t="s">
        <v>1671</v>
      </c>
      <c r="C51" s="5" t="s">
        <v>1197</v>
      </c>
      <c r="D51" s="5">
        <v>42957</v>
      </c>
      <c r="E51" s="5" t="s">
        <v>65</v>
      </c>
      <c r="F51" s="6">
        <v>42719</v>
      </c>
      <c r="G51" s="5" t="s">
        <v>222</v>
      </c>
      <c r="H51" s="5" t="s">
        <v>214</v>
      </c>
      <c r="I51" s="5" t="s">
        <v>215</v>
      </c>
      <c r="J51" s="5" t="s">
        <v>0</v>
      </c>
      <c r="K51" s="5" t="s">
        <v>1</v>
      </c>
      <c r="L51" s="5" t="s">
        <v>2</v>
      </c>
      <c r="M51" s="5" t="s">
        <v>933</v>
      </c>
      <c r="N51" s="5" t="s">
        <v>424</v>
      </c>
      <c r="O51" s="5" t="s">
        <v>174</v>
      </c>
      <c r="P51" s="5" t="s">
        <v>9</v>
      </c>
      <c r="XFD51"/>
    </row>
    <row r="52" spans="1:16 16384:16384" s="5" customFormat="1">
      <c r="A52" s="5" t="s">
        <v>945</v>
      </c>
      <c r="B52" s="5" t="s">
        <v>1672</v>
      </c>
      <c r="C52" s="5" t="s">
        <v>1197</v>
      </c>
      <c r="D52" s="5">
        <v>42959</v>
      </c>
      <c r="E52" s="5" t="s">
        <v>86</v>
      </c>
      <c r="F52" s="6">
        <v>42719</v>
      </c>
      <c r="G52" s="5" t="s">
        <v>425</v>
      </c>
      <c r="H52" s="5" t="s">
        <v>214</v>
      </c>
      <c r="I52" s="5" t="s">
        <v>215</v>
      </c>
      <c r="J52" s="5" t="s">
        <v>0</v>
      </c>
      <c r="K52" s="5" t="s">
        <v>1</v>
      </c>
      <c r="L52" s="5" t="s">
        <v>2</v>
      </c>
      <c r="M52" s="5" t="s">
        <v>933</v>
      </c>
      <c r="N52" s="5" t="s">
        <v>426</v>
      </c>
      <c r="O52" s="5" t="s">
        <v>174</v>
      </c>
      <c r="P52" s="5" t="s">
        <v>9</v>
      </c>
      <c r="XFD52"/>
    </row>
    <row r="53" spans="1:16 16384:16384" s="5" customFormat="1">
      <c r="A53" s="5" t="s">
        <v>945</v>
      </c>
      <c r="B53" s="5" t="s">
        <v>1673</v>
      </c>
      <c r="C53" s="5" t="s">
        <v>1197</v>
      </c>
      <c r="D53" s="5">
        <v>42965</v>
      </c>
      <c r="E53" s="5" t="s">
        <v>86</v>
      </c>
      <c r="F53" s="6">
        <v>42719</v>
      </c>
      <c r="G53" s="5" t="s">
        <v>421</v>
      </c>
      <c r="H53" s="5" t="s">
        <v>214</v>
      </c>
      <c r="I53" s="5" t="s">
        <v>215</v>
      </c>
      <c r="J53" s="5" t="s">
        <v>0</v>
      </c>
      <c r="K53" s="5" t="s">
        <v>1</v>
      </c>
      <c r="L53" s="5" t="s">
        <v>2</v>
      </c>
      <c r="M53" s="5" t="s">
        <v>933</v>
      </c>
      <c r="N53" s="5" t="s">
        <v>427</v>
      </c>
      <c r="O53" s="5" t="s">
        <v>174</v>
      </c>
      <c r="P53" s="5" t="s">
        <v>9</v>
      </c>
      <c r="XFD53"/>
    </row>
    <row r="54" spans="1:16 16384:16384" s="5" customFormat="1">
      <c r="A54" s="5" t="s">
        <v>945</v>
      </c>
      <c r="B54" s="5" t="s">
        <v>1674</v>
      </c>
      <c r="C54" s="5" t="s">
        <v>1197</v>
      </c>
      <c r="D54" s="5">
        <v>42968</v>
      </c>
      <c r="E54" s="5" t="s">
        <v>24</v>
      </c>
      <c r="F54" s="6">
        <v>42719</v>
      </c>
      <c r="G54" s="5" t="s">
        <v>428</v>
      </c>
      <c r="H54" s="5" t="s">
        <v>429</v>
      </c>
      <c r="I54" s="5" t="s">
        <v>430</v>
      </c>
      <c r="J54" s="5" t="s">
        <v>0</v>
      </c>
      <c r="K54" s="5" t="s">
        <v>1</v>
      </c>
      <c r="L54" s="5" t="s">
        <v>2</v>
      </c>
      <c r="M54" s="5" t="s">
        <v>933</v>
      </c>
      <c r="N54" s="5" t="s">
        <v>431</v>
      </c>
      <c r="O54" s="5" t="s">
        <v>174</v>
      </c>
      <c r="P54" s="5" t="s">
        <v>9</v>
      </c>
      <c r="XFD54"/>
    </row>
    <row r="55" spans="1:16 16384:16384" s="5" customFormat="1">
      <c r="A55" s="5" t="s">
        <v>945</v>
      </c>
      <c r="B55" s="5" t="s">
        <v>1675</v>
      </c>
      <c r="C55" s="5" t="s">
        <v>1197</v>
      </c>
      <c r="D55" s="5">
        <v>42974</v>
      </c>
      <c r="E55" s="5" t="s">
        <v>65</v>
      </c>
      <c r="F55" s="6">
        <v>42719</v>
      </c>
      <c r="G55" s="5" t="s">
        <v>222</v>
      </c>
      <c r="H55" s="5" t="s">
        <v>214</v>
      </c>
      <c r="I55" s="5" t="s">
        <v>215</v>
      </c>
      <c r="J55" s="5" t="s">
        <v>0</v>
      </c>
      <c r="K55" s="5" t="s">
        <v>1</v>
      </c>
      <c r="L55" s="5" t="s">
        <v>2</v>
      </c>
      <c r="M55" s="5" t="s">
        <v>933</v>
      </c>
      <c r="N55" s="5" t="s">
        <v>432</v>
      </c>
      <c r="O55" s="5" t="s">
        <v>174</v>
      </c>
      <c r="P55" s="5" t="s">
        <v>9</v>
      </c>
      <c r="XFD55"/>
    </row>
    <row r="56" spans="1:16 16384:16384" s="5" customFormat="1">
      <c r="A56" s="5" t="s">
        <v>945</v>
      </c>
      <c r="B56" s="5" t="s">
        <v>1676</v>
      </c>
      <c r="C56" s="5" t="s">
        <v>1197</v>
      </c>
      <c r="D56" s="5">
        <v>42977</v>
      </c>
      <c r="E56" s="5" t="s">
        <v>65</v>
      </c>
      <c r="F56" s="6">
        <v>42719</v>
      </c>
      <c r="G56" s="5" t="s">
        <v>222</v>
      </c>
      <c r="H56" s="5" t="s">
        <v>214</v>
      </c>
      <c r="I56" s="5" t="s">
        <v>215</v>
      </c>
      <c r="J56" s="5" t="s">
        <v>0</v>
      </c>
      <c r="K56" s="5" t="s">
        <v>1</v>
      </c>
      <c r="L56" s="5" t="s">
        <v>2</v>
      </c>
      <c r="M56" s="5" t="s">
        <v>933</v>
      </c>
      <c r="N56" s="5" t="s">
        <v>433</v>
      </c>
      <c r="O56" s="5" t="s">
        <v>174</v>
      </c>
      <c r="P56" s="5" t="s">
        <v>9</v>
      </c>
      <c r="XFD56"/>
    </row>
    <row r="57" spans="1:16 16384:16384" s="5" customFormat="1">
      <c r="A57" s="5" t="s">
        <v>945</v>
      </c>
      <c r="B57" s="5" t="s">
        <v>1677</v>
      </c>
      <c r="C57" s="5" t="s">
        <v>1197</v>
      </c>
      <c r="D57" s="5">
        <v>42979</v>
      </c>
      <c r="E57" s="5" t="s">
        <v>65</v>
      </c>
      <c r="F57" s="6">
        <v>42719</v>
      </c>
      <c r="G57" s="5" t="s">
        <v>222</v>
      </c>
      <c r="H57" s="5" t="s">
        <v>214</v>
      </c>
      <c r="I57" s="5" t="s">
        <v>215</v>
      </c>
      <c r="J57" s="5" t="s">
        <v>0</v>
      </c>
      <c r="K57" s="5" t="s">
        <v>1</v>
      </c>
      <c r="L57" s="5" t="s">
        <v>2</v>
      </c>
      <c r="M57" s="5" t="s">
        <v>933</v>
      </c>
      <c r="N57" s="5" t="s">
        <v>434</v>
      </c>
      <c r="O57" s="5" t="s">
        <v>174</v>
      </c>
      <c r="P57" s="5" t="s">
        <v>9</v>
      </c>
      <c r="XFD57"/>
    </row>
    <row r="58" spans="1:16 16384:16384" s="5" customFormat="1">
      <c r="A58" s="5" t="s">
        <v>945</v>
      </c>
      <c r="B58" s="5" t="s">
        <v>1678</v>
      </c>
      <c r="C58" s="5" t="s">
        <v>1197</v>
      </c>
      <c r="D58" s="5">
        <v>42980</v>
      </c>
      <c r="E58" s="5" t="s">
        <v>65</v>
      </c>
      <c r="F58" s="6">
        <v>42719</v>
      </c>
      <c r="G58" s="5" t="s">
        <v>222</v>
      </c>
      <c r="H58" s="5" t="s">
        <v>214</v>
      </c>
      <c r="I58" s="5" t="s">
        <v>215</v>
      </c>
      <c r="J58" s="5" t="s">
        <v>0</v>
      </c>
      <c r="K58" s="5" t="s">
        <v>1</v>
      </c>
      <c r="L58" s="5" t="s">
        <v>2</v>
      </c>
      <c r="M58" s="5" t="s">
        <v>933</v>
      </c>
      <c r="N58" s="5" t="s">
        <v>435</v>
      </c>
      <c r="O58" s="5" t="s">
        <v>174</v>
      </c>
      <c r="P58" s="5" t="s">
        <v>9</v>
      </c>
      <c r="XFD58"/>
    </row>
    <row r="59" spans="1:16 16384:16384" s="5" customFormat="1">
      <c r="A59" s="5" t="s">
        <v>945</v>
      </c>
      <c r="B59" s="5" t="s">
        <v>1679</v>
      </c>
      <c r="C59" s="5" t="s">
        <v>1197</v>
      </c>
      <c r="D59" s="5">
        <v>42988</v>
      </c>
      <c r="E59" s="5" t="s">
        <v>65</v>
      </c>
      <c r="F59" s="6">
        <v>42719</v>
      </c>
      <c r="G59" s="5" t="s">
        <v>222</v>
      </c>
      <c r="H59" s="5" t="s">
        <v>214</v>
      </c>
      <c r="I59" s="5" t="s">
        <v>215</v>
      </c>
      <c r="J59" s="5" t="s">
        <v>0</v>
      </c>
      <c r="K59" s="5" t="s">
        <v>1</v>
      </c>
      <c r="L59" s="5" t="s">
        <v>2</v>
      </c>
      <c r="M59" s="5" t="s">
        <v>933</v>
      </c>
      <c r="N59" s="5" t="s">
        <v>436</v>
      </c>
      <c r="O59" s="5" t="s">
        <v>174</v>
      </c>
      <c r="P59" s="5" t="s">
        <v>9</v>
      </c>
      <c r="XFD59"/>
    </row>
    <row r="60" spans="1:16 16384:16384" s="5" customFormat="1">
      <c r="A60" s="5" t="s">
        <v>945</v>
      </c>
      <c r="B60" s="5" t="s">
        <v>1680</v>
      </c>
      <c r="C60" s="5" t="s">
        <v>1197</v>
      </c>
      <c r="D60" s="5">
        <v>42992</v>
      </c>
      <c r="E60" s="5" t="s">
        <v>24</v>
      </c>
      <c r="F60" s="6">
        <v>42719</v>
      </c>
      <c r="G60" s="5" t="s">
        <v>437</v>
      </c>
      <c r="H60" s="5" t="s">
        <v>171</v>
      </c>
      <c r="I60" s="5" t="s">
        <v>172</v>
      </c>
      <c r="J60" s="5" t="s">
        <v>0</v>
      </c>
      <c r="K60" s="5" t="s">
        <v>1</v>
      </c>
      <c r="L60" s="5" t="s">
        <v>2</v>
      </c>
      <c r="M60" s="5" t="s">
        <v>933</v>
      </c>
      <c r="N60" s="5" t="s">
        <v>438</v>
      </c>
      <c r="O60" s="5" t="s">
        <v>174</v>
      </c>
      <c r="P60" s="5" t="s">
        <v>9</v>
      </c>
      <c r="XFD60"/>
    </row>
    <row r="61" spans="1:16 16384:16384" s="5" customFormat="1">
      <c r="A61" s="5" t="s">
        <v>945</v>
      </c>
      <c r="B61" s="5" t="s">
        <v>1681</v>
      </c>
      <c r="C61" s="5" t="s">
        <v>1197</v>
      </c>
      <c r="D61" s="5">
        <v>43003</v>
      </c>
      <c r="E61" s="5" t="s">
        <v>24</v>
      </c>
      <c r="F61" s="6">
        <v>42719</v>
      </c>
      <c r="G61" s="5" t="s">
        <v>418</v>
      </c>
      <c r="H61" s="5" t="s">
        <v>171</v>
      </c>
      <c r="I61" s="5" t="s">
        <v>172</v>
      </c>
      <c r="J61" s="5" t="s">
        <v>0</v>
      </c>
      <c r="K61" s="5" t="s">
        <v>1</v>
      </c>
      <c r="L61" s="5" t="s">
        <v>2</v>
      </c>
      <c r="M61" s="5" t="s">
        <v>933</v>
      </c>
      <c r="N61" s="5" t="s">
        <v>439</v>
      </c>
      <c r="O61" s="5" t="s">
        <v>174</v>
      </c>
      <c r="P61" s="5" t="s">
        <v>9</v>
      </c>
      <c r="XFD61"/>
    </row>
    <row r="62" spans="1:16 16384:16384" s="5" customFormat="1">
      <c r="A62" s="5" t="s">
        <v>945</v>
      </c>
      <c r="B62" s="5" t="s">
        <v>1682</v>
      </c>
      <c r="C62" s="5" t="s">
        <v>1197</v>
      </c>
      <c r="D62" s="5">
        <v>43005</v>
      </c>
      <c r="E62" s="5" t="s">
        <v>86</v>
      </c>
      <c r="F62" s="6">
        <v>42719</v>
      </c>
      <c r="G62" s="5" t="s">
        <v>440</v>
      </c>
      <c r="H62" s="5" t="s">
        <v>214</v>
      </c>
      <c r="I62" s="5" t="s">
        <v>215</v>
      </c>
      <c r="J62" s="5" t="s">
        <v>0</v>
      </c>
      <c r="K62" s="5" t="s">
        <v>1</v>
      </c>
      <c r="L62" s="5" t="s">
        <v>2</v>
      </c>
      <c r="M62" s="5" t="s">
        <v>933</v>
      </c>
      <c r="N62" s="5" t="s">
        <v>441</v>
      </c>
      <c r="O62" s="5" t="s">
        <v>174</v>
      </c>
      <c r="P62" s="5" t="s">
        <v>9</v>
      </c>
      <c r="XFD62"/>
    </row>
    <row r="63" spans="1:16 16384:16384" s="5" customFormat="1">
      <c r="A63" s="5" t="s">
        <v>945</v>
      </c>
      <c r="B63" s="5" t="s">
        <v>1683</v>
      </c>
      <c r="C63" s="5" t="s">
        <v>1197</v>
      </c>
      <c r="D63" s="5">
        <v>43006</v>
      </c>
      <c r="E63" s="5" t="s">
        <v>24</v>
      </c>
      <c r="F63" s="6">
        <v>42719</v>
      </c>
      <c r="G63" s="5" t="s">
        <v>442</v>
      </c>
      <c r="H63" s="5" t="s">
        <v>171</v>
      </c>
      <c r="I63" s="5" t="s">
        <v>172</v>
      </c>
      <c r="J63" s="5" t="s">
        <v>0</v>
      </c>
      <c r="K63" s="5" t="s">
        <v>1</v>
      </c>
      <c r="L63" s="5" t="s">
        <v>2</v>
      </c>
      <c r="M63" s="5" t="s">
        <v>933</v>
      </c>
      <c r="N63" s="5" t="s">
        <v>443</v>
      </c>
      <c r="O63" s="5" t="s">
        <v>174</v>
      </c>
      <c r="P63" s="5" t="s">
        <v>9</v>
      </c>
      <c r="XFD63"/>
    </row>
    <row r="64" spans="1:16 16384:16384" s="5" customFormat="1">
      <c r="A64" s="5" t="s">
        <v>945</v>
      </c>
      <c r="B64" s="5" t="s">
        <v>1684</v>
      </c>
      <c r="C64" s="5" t="s">
        <v>1197</v>
      </c>
      <c r="D64" s="5">
        <v>43011</v>
      </c>
      <c r="E64" s="5" t="s">
        <v>86</v>
      </c>
      <c r="F64" s="6">
        <v>42719</v>
      </c>
      <c r="G64" s="5" t="s">
        <v>444</v>
      </c>
      <c r="H64" s="5" t="s">
        <v>214</v>
      </c>
      <c r="I64" s="5" t="s">
        <v>215</v>
      </c>
      <c r="J64" s="5" t="s">
        <v>0</v>
      </c>
      <c r="K64" s="5" t="s">
        <v>1</v>
      </c>
      <c r="L64" s="5" t="s">
        <v>2</v>
      </c>
      <c r="M64" s="5" t="s">
        <v>933</v>
      </c>
      <c r="N64" s="5" t="s">
        <v>445</v>
      </c>
      <c r="O64" s="5" t="s">
        <v>174</v>
      </c>
      <c r="P64" s="5" t="s">
        <v>9</v>
      </c>
      <c r="XFD64"/>
    </row>
    <row r="65" spans="1:16 16384:16384" s="5" customFormat="1">
      <c r="A65" s="5" t="s">
        <v>945</v>
      </c>
      <c r="B65" s="5" t="s">
        <v>1685</v>
      </c>
      <c r="C65" s="5" t="s">
        <v>1197</v>
      </c>
      <c r="D65" s="5">
        <v>43012</v>
      </c>
      <c r="E65" s="5" t="s">
        <v>212</v>
      </c>
      <c r="F65" s="6">
        <v>42719</v>
      </c>
      <c r="G65" s="5" t="s">
        <v>446</v>
      </c>
      <c r="H65" s="5" t="s">
        <v>214</v>
      </c>
      <c r="I65" s="5" t="s">
        <v>215</v>
      </c>
      <c r="J65" s="5" t="s">
        <v>0</v>
      </c>
      <c r="K65" s="5" t="s">
        <v>1</v>
      </c>
      <c r="L65" s="5" t="s">
        <v>2</v>
      </c>
      <c r="M65" s="5" t="s">
        <v>933</v>
      </c>
      <c r="N65" s="5" t="s">
        <v>447</v>
      </c>
      <c r="O65" s="5" t="s">
        <v>174</v>
      </c>
      <c r="P65" s="5" t="s">
        <v>9</v>
      </c>
      <c r="XFD65"/>
    </row>
    <row r="66" spans="1:16 16384:16384" s="5" customFormat="1">
      <c r="A66" s="5" t="s">
        <v>945</v>
      </c>
      <c r="B66" s="5" t="s">
        <v>1686</v>
      </c>
      <c r="C66" s="5" t="s">
        <v>1197</v>
      </c>
      <c r="D66" s="5">
        <v>43019</v>
      </c>
      <c r="E66" s="5" t="s">
        <v>65</v>
      </c>
      <c r="F66" s="6">
        <v>42719</v>
      </c>
      <c r="G66" s="5" t="s">
        <v>222</v>
      </c>
      <c r="H66" s="5" t="s">
        <v>214</v>
      </c>
      <c r="I66" s="5" t="s">
        <v>215</v>
      </c>
      <c r="J66" s="5" t="s">
        <v>0</v>
      </c>
      <c r="K66" s="5" t="s">
        <v>1</v>
      </c>
      <c r="L66" s="5" t="s">
        <v>2</v>
      </c>
      <c r="M66" s="5" t="s">
        <v>933</v>
      </c>
      <c r="N66" s="5" t="s">
        <v>448</v>
      </c>
      <c r="O66" s="5" t="s">
        <v>174</v>
      </c>
      <c r="P66" s="5" t="s">
        <v>9</v>
      </c>
      <c r="XFD66"/>
    </row>
    <row r="67" spans="1:16 16384:16384" s="5" customFormat="1">
      <c r="A67" s="5" t="s">
        <v>945</v>
      </c>
      <c r="B67" s="5" t="s">
        <v>1687</v>
      </c>
      <c r="C67" s="5" t="s">
        <v>1197</v>
      </c>
      <c r="D67" s="5">
        <v>43020</v>
      </c>
      <c r="E67" s="5" t="s">
        <v>65</v>
      </c>
      <c r="F67" s="6">
        <v>42719</v>
      </c>
      <c r="G67" s="5" t="s">
        <v>222</v>
      </c>
      <c r="H67" s="5" t="s">
        <v>214</v>
      </c>
      <c r="I67" s="5" t="s">
        <v>215</v>
      </c>
      <c r="J67" s="5" t="s">
        <v>0</v>
      </c>
      <c r="K67" s="5" t="s">
        <v>1</v>
      </c>
      <c r="L67" s="5" t="s">
        <v>2</v>
      </c>
      <c r="M67" s="5" t="s">
        <v>933</v>
      </c>
      <c r="N67" s="5" t="s">
        <v>449</v>
      </c>
      <c r="O67" s="5" t="s">
        <v>174</v>
      </c>
      <c r="P67" s="5" t="s">
        <v>9</v>
      </c>
      <c r="XFD67"/>
    </row>
    <row r="68" spans="1:16 16384:16384" s="5" customFormat="1">
      <c r="A68" s="5" t="s">
        <v>945</v>
      </c>
      <c r="B68" s="5" t="s">
        <v>1688</v>
      </c>
      <c r="C68" s="5" t="s">
        <v>1197</v>
      </c>
      <c r="D68" s="5">
        <v>43027</v>
      </c>
      <c r="E68" s="5" t="s">
        <v>65</v>
      </c>
      <c r="F68" s="6">
        <v>42719</v>
      </c>
      <c r="G68" s="5" t="s">
        <v>222</v>
      </c>
      <c r="H68" s="5" t="s">
        <v>214</v>
      </c>
      <c r="I68" s="5" t="s">
        <v>215</v>
      </c>
      <c r="J68" s="5" t="s">
        <v>0</v>
      </c>
      <c r="K68" s="5" t="s">
        <v>1</v>
      </c>
      <c r="L68" s="5" t="s">
        <v>2</v>
      </c>
      <c r="M68" s="5" t="s">
        <v>933</v>
      </c>
      <c r="N68" s="5" t="s">
        <v>450</v>
      </c>
      <c r="O68" s="5" t="s">
        <v>174</v>
      </c>
      <c r="P68" s="5" t="s">
        <v>9</v>
      </c>
      <c r="XFD68"/>
    </row>
    <row r="69" spans="1:16 16384:16384" s="5" customFormat="1">
      <c r="A69" s="5" t="s">
        <v>945</v>
      </c>
      <c r="B69" s="5" t="s">
        <v>1689</v>
      </c>
      <c r="C69" s="5" t="s">
        <v>1197</v>
      </c>
      <c r="D69" s="5">
        <v>43029</v>
      </c>
      <c r="E69" s="5" t="s">
        <v>86</v>
      </c>
      <c r="F69" s="6">
        <v>42719</v>
      </c>
      <c r="G69" s="5" t="s">
        <v>451</v>
      </c>
      <c r="H69" s="5" t="s">
        <v>214</v>
      </c>
      <c r="I69" s="5" t="s">
        <v>215</v>
      </c>
      <c r="J69" s="5" t="s">
        <v>0</v>
      </c>
      <c r="K69" s="5" t="s">
        <v>1</v>
      </c>
      <c r="L69" s="5" t="s">
        <v>2</v>
      </c>
      <c r="M69" s="5" t="s">
        <v>933</v>
      </c>
      <c r="N69" s="5" t="s">
        <v>452</v>
      </c>
      <c r="O69" s="5" t="s">
        <v>174</v>
      </c>
      <c r="P69" s="5" t="s">
        <v>9</v>
      </c>
      <c r="XFD69"/>
    </row>
    <row r="70" spans="1:16 16384:16384" s="5" customFormat="1">
      <c r="A70" s="5" t="s">
        <v>945</v>
      </c>
      <c r="B70" s="5" t="s">
        <v>1690</v>
      </c>
      <c r="C70" s="5" t="s">
        <v>1197</v>
      </c>
      <c r="D70" s="5">
        <v>43031</v>
      </c>
      <c r="E70" s="5" t="s">
        <v>65</v>
      </c>
      <c r="F70" s="6">
        <v>42719</v>
      </c>
      <c r="G70" s="5" t="s">
        <v>222</v>
      </c>
      <c r="H70" s="5" t="s">
        <v>214</v>
      </c>
      <c r="I70" s="5" t="s">
        <v>215</v>
      </c>
      <c r="J70" s="5" t="s">
        <v>0</v>
      </c>
      <c r="K70" s="5" t="s">
        <v>1</v>
      </c>
      <c r="L70" s="5" t="s">
        <v>2</v>
      </c>
      <c r="M70" s="5" t="s">
        <v>933</v>
      </c>
      <c r="N70" s="5" t="s">
        <v>453</v>
      </c>
      <c r="O70" s="5" t="s">
        <v>174</v>
      </c>
      <c r="P70" s="5" t="s">
        <v>9</v>
      </c>
      <c r="XFD70"/>
    </row>
    <row r="71" spans="1:16 16384:16384" s="5" customFormat="1">
      <c r="A71" s="5" t="s">
        <v>945</v>
      </c>
      <c r="B71" s="5" t="s">
        <v>1691</v>
      </c>
      <c r="C71" s="5" t="s">
        <v>1197</v>
      </c>
      <c r="D71" s="5">
        <v>43032</v>
      </c>
      <c r="E71" s="5" t="s">
        <v>65</v>
      </c>
      <c r="F71" s="6">
        <v>42719</v>
      </c>
      <c r="G71" s="5" t="s">
        <v>222</v>
      </c>
      <c r="H71" s="5" t="s">
        <v>214</v>
      </c>
      <c r="I71" s="5" t="s">
        <v>215</v>
      </c>
      <c r="J71" s="5" t="s">
        <v>0</v>
      </c>
      <c r="K71" s="5" t="s">
        <v>1</v>
      </c>
      <c r="L71" s="5" t="s">
        <v>2</v>
      </c>
      <c r="M71" s="5" t="s">
        <v>933</v>
      </c>
      <c r="N71" s="5" t="s">
        <v>454</v>
      </c>
      <c r="O71" s="5" t="s">
        <v>174</v>
      </c>
      <c r="P71" s="5" t="s">
        <v>9</v>
      </c>
      <c r="XFD71"/>
    </row>
    <row r="72" spans="1:16 16384:16384" s="5" customFormat="1">
      <c r="A72" s="5" t="s">
        <v>945</v>
      </c>
      <c r="B72" s="5" t="s">
        <v>1692</v>
      </c>
      <c r="C72" s="5" t="s">
        <v>1197</v>
      </c>
      <c r="D72" s="5">
        <v>43035</v>
      </c>
      <c r="E72" s="5" t="s">
        <v>65</v>
      </c>
      <c r="F72" s="6">
        <v>42719</v>
      </c>
      <c r="G72" s="5" t="s">
        <v>222</v>
      </c>
      <c r="H72" s="5" t="s">
        <v>214</v>
      </c>
      <c r="I72" s="5" t="s">
        <v>215</v>
      </c>
      <c r="J72" s="5" t="s">
        <v>0</v>
      </c>
      <c r="K72" s="5" t="s">
        <v>1</v>
      </c>
      <c r="L72" s="5" t="s">
        <v>2</v>
      </c>
      <c r="M72" s="5" t="s">
        <v>933</v>
      </c>
      <c r="N72" s="5" t="s">
        <v>455</v>
      </c>
      <c r="O72" s="5" t="s">
        <v>174</v>
      </c>
      <c r="P72" s="5" t="s">
        <v>9</v>
      </c>
      <c r="XFD72"/>
    </row>
    <row r="73" spans="1:16 16384:16384" s="5" customFormat="1">
      <c r="A73" s="5" t="s">
        <v>945</v>
      </c>
      <c r="B73" s="5" t="s">
        <v>1693</v>
      </c>
      <c r="C73" s="5" t="s">
        <v>1197</v>
      </c>
      <c r="D73" s="5">
        <v>43038</v>
      </c>
      <c r="E73" s="5" t="s">
        <v>65</v>
      </c>
      <c r="F73" s="6">
        <v>42719</v>
      </c>
      <c r="G73" s="5" t="s">
        <v>222</v>
      </c>
      <c r="H73" s="5" t="s">
        <v>214</v>
      </c>
      <c r="I73" s="5" t="s">
        <v>215</v>
      </c>
      <c r="J73" s="5" t="s">
        <v>0</v>
      </c>
      <c r="K73" s="5" t="s">
        <v>1</v>
      </c>
      <c r="L73" s="5" t="s">
        <v>2</v>
      </c>
      <c r="M73" s="5" t="s">
        <v>933</v>
      </c>
      <c r="N73" s="5" t="s">
        <v>456</v>
      </c>
      <c r="O73" s="5" t="s">
        <v>174</v>
      </c>
      <c r="P73" s="5" t="s">
        <v>9</v>
      </c>
      <c r="XFD73"/>
    </row>
    <row r="74" spans="1:16 16384:16384" s="5" customFormat="1">
      <c r="A74" s="5" t="s">
        <v>945</v>
      </c>
      <c r="B74" s="5" t="s">
        <v>1694</v>
      </c>
      <c r="C74" s="5" t="s">
        <v>1197</v>
      </c>
      <c r="D74" s="5">
        <v>43044</v>
      </c>
      <c r="E74" s="5" t="s">
        <v>86</v>
      </c>
      <c r="F74" s="6">
        <v>42719</v>
      </c>
      <c r="G74" s="5" t="s">
        <v>425</v>
      </c>
      <c r="H74" s="5" t="s">
        <v>214</v>
      </c>
      <c r="I74" s="5" t="s">
        <v>215</v>
      </c>
      <c r="J74" s="5" t="s">
        <v>0</v>
      </c>
      <c r="K74" s="5" t="s">
        <v>1</v>
      </c>
      <c r="L74" s="5" t="s">
        <v>2</v>
      </c>
      <c r="M74" s="5" t="s">
        <v>933</v>
      </c>
      <c r="N74" s="5" t="s">
        <v>457</v>
      </c>
      <c r="O74" s="5" t="s">
        <v>174</v>
      </c>
      <c r="P74" s="5" t="s">
        <v>9</v>
      </c>
      <c r="XFD74"/>
    </row>
    <row r="75" spans="1:16 16384:16384" s="5" customFormat="1">
      <c r="A75" s="5" t="s">
        <v>945</v>
      </c>
      <c r="B75" s="5" t="s">
        <v>1695</v>
      </c>
      <c r="C75" s="5" t="s">
        <v>1197</v>
      </c>
      <c r="D75" s="5">
        <v>43048</v>
      </c>
      <c r="E75" s="5" t="s">
        <v>65</v>
      </c>
      <c r="F75" s="6">
        <v>42719</v>
      </c>
      <c r="G75" s="5" t="s">
        <v>222</v>
      </c>
      <c r="H75" s="5" t="s">
        <v>214</v>
      </c>
      <c r="I75" s="5" t="s">
        <v>215</v>
      </c>
      <c r="J75" s="5" t="s">
        <v>0</v>
      </c>
      <c r="K75" s="5" t="s">
        <v>1</v>
      </c>
      <c r="L75" s="5" t="s">
        <v>2</v>
      </c>
      <c r="M75" s="5" t="s">
        <v>933</v>
      </c>
      <c r="N75" s="5" t="s">
        <v>458</v>
      </c>
      <c r="O75" s="5" t="s">
        <v>174</v>
      </c>
      <c r="P75" s="5" t="s">
        <v>9</v>
      </c>
      <c r="XFD75"/>
    </row>
    <row r="76" spans="1:16 16384:16384" s="5" customFormat="1">
      <c r="A76" s="5" t="s">
        <v>945</v>
      </c>
      <c r="B76" s="5" t="s">
        <v>1696</v>
      </c>
      <c r="C76" s="5" t="s">
        <v>1197</v>
      </c>
      <c r="D76" s="5">
        <v>43056</v>
      </c>
      <c r="E76" s="5" t="s">
        <v>65</v>
      </c>
      <c r="F76" s="6">
        <v>42719</v>
      </c>
      <c r="G76" s="5" t="s">
        <v>222</v>
      </c>
      <c r="H76" s="5" t="s">
        <v>214</v>
      </c>
      <c r="I76" s="5" t="s">
        <v>215</v>
      </c>
      <c r="J76" s="5" t="s">
        <v>0</v>
      </c>
      <c r="K76" s="5" t="s">
        <v>1</v>
      </c>
      <c r="L76" s="5" t="s">
        <v>2</v>
      </c>
      <c r="M76" s="5" t="s">
        <v>933</v>
      </c>
      <c r="N76" s="5" t="s">
        <v>459</v>
      </c>
      <c r="O76" s="5" t="s">
        <v>174</v>
      </c>
      <c r="P76" s="5" t="s">
        <v>9</v>
      </c>
      <c r="XFD76"/>
    </row>
    <row r="77" spans="1:16 16384:16384" s="5" customFormat="1">
      <c r="A77" s="5" t="s">
        <v>945</v>
      </c>
      <c r="B77" s="5" t="s">
        <v>1697</v>
      </c>
      <c r="C77" s="5" t="s">
        <v>1197</v>
      </c>
      <c r="D77" s="5">
        <v>43059</v>
      </c>
      <c r="E77" s="5" t="s">
        <v>86</v>
      </c>
      <c r="F77" s="6">
        <v>42719</v>
      </c>
      <c r="G77" s="5" t="s">
        <v>440</v>
      </c>
      <c r="H77" s="5" t="s">
        <v>214</v>
      </c>
      <c r="I77" s="5" t="s">
        <v>215</v>
      </c>
      <c r="J77" s="5" t="s">
        <v>0</v>
      </c>
      <c r="K77" s="5" t="s">
        <v>1</v>
      </c>
      <c r="L77" s="5" t="s">
        <v>2</v>
      </c>
      <c r="M77" s="5" t="s">
        <v>933</v>
      </c>
      <c r="N77" s="5" t="s">
        <v>460</v>
      </c>
      <c r="O77" s="5" t="s">
        <v>174</v>
      </c>
      <c r="P77" s="5" t="s">
        <v>9</v>
      </c>
      <c r="XFD77"/>
    </row>
    <row r="78" spans="1:16 16384:16384" s="5" customFormat="1">
      <c r="A78" s="5" t="s">
        <v>945</v>
      </c>
      <c r="B78" s="5" t="s">
        <v>1698</v>
      </c>
      <c r="C78" s="5" t="s">
        <v>1197</v>
      </c>
      <c r="D78" s="5">
        <v>43069</v>
      </c>
      <c r="E78" s="5" t="s">
        <v>24</v>
      </c>
      <c r="F78" s="6">
        <v>42719</v>
      </c>
      <c r="G78" s="5" t="s">
        <v>461</v>
      </c>
      <c r="H78" s="5" t="s">
        <v>195</v>
      </c>
      <c r="I78" s="5" t="s">
        <v>196</v>
      </c>
      <c r="J78" s="5" t="s">
        <v>0</v>
      </c>
      <c r="K78" s="5" t="s">
        <v>1</v>
      </c>
      <c r="L78" s="5" t="s">
        <v>2</v>
      </c>
      <c r="M78" s="5" t="s">
        <v>933</v>
      </c>
      <c r="N78" s="5" t="s">
        <v>462</v>
      </c>
      <c r="O78" s="5" t="s">
        <v>174</v>
      </c>
      <c r="P78" s="5" t="s">
        <v>9</v>
      </c>
      <c r="XFD78"/>
    </row>
    <row r="79" spans="1:16 16384:16384" s="5" customFormat="1">
      <c r="A79" s="5" t="s">
        <v>945</v>
      </c>
      <c r="B79" s="5" t="s">
        <v>1699</v>
      </c>
      <c r="C79" s="5" t="s">
        <v>1197</v>
      </c>
      <c r="D79" s="5">
        <v>43076</v>
      </c>
      <c r="E79" s="5" t="s">
        <v>86</v>
      </c>
      <c r="F79" s="6">
        <v>42719</v>
      </c>
      <c r="G79" s="5" t="s">
        <v>440</v>
      </c>
      <c r="H79" s="5" t="s">
        <v>214</v>
      </c>
      <c r="I79" s="5" t="s">
        <v>215</v>
      </c>
      <c r="J79" s="5" t="s">
        <v>0</v>
      </c>
      <c r="K79" s="5" t="s">
        <v>1</v>
      </c>
      <c r="L79" s="5" t="s">
        <v>2</v>
      </c>
      <c r="M79" s="5" t="s">
        <v>933</v>
      </c>
      <c r="N79" s="5" t="s">
        <v>463</v>
      </c>
      <c r="O79" s="5" t="s">
        <v>174</v>
      </c>
      <c r="P79" s="5" t="s">
        <v>9</v>
      </c>
      <c r="XFD79"/>
    </row>
    <row r="80" spans="1:16 16384:16384" s="5" customFormat="1">
      <c r="A80" s="5" t="s">
        <v>945</v>
      </c>
      <c r="B80" s="5" t="s">
        <v>1700</v>
      </c>
      <c r="C80" s="5" t="s">
        <v>1197</v>
      </c>
      <c r="D80" s="5">
        <v>43082</v>
      </c>
      <c r="E80" s="5" t="s">
        <v>86</v>
      </c>
      <c r="F80" s="6">
        <v>42719</v>
      </c>
      <c r="G80" s="5" t="s">
        <v>425</v>
      </c>
      <c r="H80" s="5" t="s">
        <v>214</v>
      </c>
      <c r="I80" s="5" t="s">
        <v>215</v>
      </c>
      <c r="J80" s="5" t="s">
        <v>0</v>
      </c>
      <c r="K80" s="5" t="s">
        <v>1</v>
      </c>
      <c r="L80" s="5" t="s">
        <v>2</v>
      </c>
      <c r="M80" s="5" t="s">
        <v>933</v>
      </c>
      <c r="N80" s="5" t="s">
        <v>464</v>
      </c>
      <c r="O80" s="5" t="s">
        <v>174</v>
      </c>
      <c r="P80" s="5" t="s">
        <v>9</v>
      </c>
      <c r="XFD80"/>
    </row>
    <row r="81" spans="1:16 16384:16384" s="5" customFormat="1">
      <c r="A81" s="5" t="s">
        <v>945</v>
      </c>
      <c r="B81" s="5" t="s">
        <v>1701</v>
      </c>
      <c r="C81" s="5" t="s">
        <v>1197</v>
      </c>
      <c r="D81" s="5">
        <v>43085</v>
      </c>
      <c r="E81" s="5" t="s">
        <v>24</v>
      </c>
      <c r="F81" s="6">
        <v>42719</v>
      </c>
      <c r="G81" s="5" t="s">
        <v>465</v>
      </c>
      <c r="H81" s="5" t="s">
        <v>195</v>
      </c>
      <c r="I81" s="5" t="s">
        <v>196</v>
      </c>
      <c r="J81" s="5" t="s">
        <v>0</v>
      </c>
      <c r="K81" s="5" t="s">
        <v>1</v>
      </c>
      <c r="L81" s="5" t="s">
        <v>2</v>
      </c>
      <c r="M81" s="5" t="s">
        <v>933</v>
      </c>
      <c r="N81" s="5" t="s">
        <v>466</v>
      </c>
      <c r="O81" s="5" t="s">
        <v>174</v>
      </c>
      <c r="P81" s="5" t="s">
        <v>9</v>
      </c>
      <c r="XFD81"/>
    </row>
    <row r="82" spans="1:16 16384:16384" s="5" customFormat="1">
      <c r="A82" s="5" t="s">
        <v>945</v>
      </c>
      <c r="B82" s="5" t="s">
        <v>1702</v>
      </c>
      <c r="C82" s="5" t="s">
        <v>1197</v>
      </c>
      <c r="D82" s="5">
        <v>43086</v>
      </c>
      <c r="E82" s="5" t="s">
        <v>65</v>
      </c>
      <c r="F82" s="6">
        <v>42719</v>
      </c>
      <c r="G82" s="5" t="s">
        <v>222</v>
      </c>
      <c r="H82" s="5" t="s">
        <v>214</v>
      </c>
      <c r="I82" s="5" t="s">
        <v>215</v>
      </c>
      <c r="J82" s="5" t="s">
        <v>0</v>
      </c>
      <c r="K82" s="5" t="s">
        <v>1</v>
      </c>
      <c r="L82" s="5" t="s">
        <v>2</v>
      </c>
      <c r="M82" s="5" t="s">
        <v>933</v>
      </c>
      <c r="N82" s="5" t="s">
        <v>467</v>
      </c>
      <c r="O82" s="5" t="s">
        <v>174</v>
      </c>
      <c r="P82" s="5" t="s">
        <v>9</v>
      </c>
      <c r="XFD82"/>
    </row>
    <row r="83" spans="1:16 16384:16384" s="5" customFormat="1">
      <c r="A83" s="5" t="s">
        <v>945</v>
      </c>
      <c r="B83" s="5" t="s">
        <v>1703</v>
      </c>
      <c r="C83" s="5" t="s">
        <v>1197</v>
      </c>
      <c r="D83" s="5">
        <v>43088</v>
      </c>
      <c r="E83" s="5" t="s">
        <v>24</v>
      </c>
      <c r="F83" s="6">
        <v>42719</v>
      </c>
      <c r="G83" s="5" t="s">
        <v>461</v>
      </c>
      <c r="H83" s="5" t="s">
        <v>195</v>
      </c>
      <c r="I83" s="5" t="s">
        <v>196</v>
      </c>
      <c r="J83" s="5" t="s">
        <v>0</v>
      </c>
      <c r="K83" s="5" t="s">
        <v>1</v>
      </c>
      <c r="L83" s="5" t="s">
        <v>2</v>
      </c>
      <c r="M83" s="5" t="s">
        <v>933</v>
      </c>
      <c r="N83" s="5" t="s">
        <v>468</v>
      </c>
      <c r="O83" s="5" t="s">
        <v>174</v>
      </c>
      <c r="P83" s="5" t="s">
        <v>9</v>
      </c>
      <c r="XFD83"/>
    </row>
    <row r="84" spans="1:16 16384:16384" s="5" customFormat="1">
      <c r="A84" s="5" t="s">
        <v>945</v>
      </c>
      <c r="B84" s="5" t="s">
        <v>1704</v>
      </c>
      <c r="C84" s="5" t="s">
        <v>1197</v>
      </c>
      <c r="D84" s="5">
        <v>43092</v>
      </c>
      <c r="E84" s="5" t="s">
        <v>65</v>
      </c>
      <c r="F84" s="6">
        <v>42719</v>
      </c>
      <c r="G84" s="5" t="s">
        <v>222</v>
      </c>
      <c r="H84" s="5" t="s">
        <v>214</v>
      </c>
      <c r="I84" s="5" t="s">
        <v>215</v>
      </c>
      <c r="J84" s="5" t="s">
        <v>0</v>
      </c>
      <c r="K84" s="5" t="s">
        <v>1</v>
      </c>
      <c r="L84" s="5" t="s">
        <v>2</v>
      </c>
      <c r="M84" s="5" t="s">
        <v>933</v>
      </c>
      <c r="N84" s="5" t="s">
        <v>469</v>
      </c>
      <c r="O84" s="5" t="s">
        <v>174</v>
      </c>
      <c r="P84" s="5" t="s">
        <v>9</v>
      </c>
      <c r="XFD84"/>
    </row>
    <row r="85" spans="1:16 16384:16384" s="5" customFormat="1">
      <c r="A85" s="5" t="s">
        <v>945</v>
      </c>
      <c r="B85" s="5" t="s">
        <v>1705</v>
      </c>
      <c r="C85" s="5" t="s">
        <v>1197</v>
      </c>
      <c r="D85" s="5">
        <v>43103</v>
      </c>
      <c r="E85" s="5" t="s">
        <v>65</v>
      </c>
      <c r="F85" s="6">
        <v>42719</v>
      </c>
      <c r="G85" s="5" t="s">
        <v>222</v>
      </c>
      <c r="H85" s="5" t="s">
        <v>214</v>
      </c>
      <c r="I85" s="5" t="s">
        <v>215</v>
      </c>
      <c r="J85" s="5" t="s">
        <v>0</v>
      </c>
      <c r="K85" s="5" t="s">
        <v>1</v>
      </c>
      <c r="L85" s="5" t="s">
        <v>2</v>
      </c>
      <c r="M85" s="5" t="s">
        <v>933</v>
      </c>
      <c r="N85" s="5" t="s">
        <v>470</v>
      </c>
      <c r="O85" s="5" t="s">
        <v>174</v>
      </c>
      <c r="P85" s="5" t="s">
        <v>9</v>
      </c>
      <c r="XFD85"/>
    </row>
    <row r="86" spans="1:16 16384:16384" s="5" customFormat="1">
      <c r="A86" s="5" t="s">
        <v>945</v>
      </c>
      <c r="B86" s="5" t="s">
        <v>1706</v>
      </c>
      <c r="C86" s="5" t="s">
        <v>1197</v>
      </c>
      <c r="D86" s="5">
        <v>43106</v>
      </c>
      <c r="E86" s="5" t="s">
        <v>3</v>
      </c>
      <c r="F86" s="6">
        <v>42719</v>
      </c>
      <c r="G86" s="5" t="s">
        <v>183</v>
      </c>
      <c r="H86" s="5" t="s">
        <v>171</v>
      </c>
      <c r="I86" s="5" t="s">
        <v>172</v>
      </c>
      <c r="J86" s="5" t="s">
        <v>0</v>
      </c>
      <c r="K86" s="5" t="s">
        <v>1</v>
      </c>
      <c r="L86" s="5" t="s">
        <v>2</v>
      </c>
      <c r="M86" s="5" t="s">
        <v>933</v>
      </c>
      <c r="N86" s="5" t="s">
        <v>471</v>
      </c>
      <c r="O86" s="5" t="s">
        <v>174</v>
      </c>
      <c r="P86" s="5" t="s">
        <v>9</v>
      </c>
      <c r="XFD86"/>
    </row>
    <row r="87" spans="1:16 16384:16384" s="5" customFormat="1">
      <c r="A87" s="5" t="s">
        <v>945</v>
      </c>
      <c r="B87" s="5" t="s">
        <v>1707</v>
      </c>
      <c r="C87" s="5" t="s">
        <v>1197</v>
      </c>
      <c r="D87" s="5">
        <v>43116</v>
      </c>
      <c r="E87" s="5" t="s">
        <v>65</v>
      </c>
      <c r="F87" s="6">
        <v>42719</v>
      </c>
      <c r="G87" s="5" t="s">
        <v>222</v>
      </c>
      <c r="H87" s="5" t="s">
        <v>214</v>
      </c>
      <c r="I87" s="5" t="s">
        <v>215</v>
      </c>
      <c r="J87" s="5" t="s">
        <v>0</v>
      </c>
      <c r="K87" s="5" t="s">
        <v>1</v>
      </c>
      <c r="L87" s="5" t="s">
        <v>2</v>
      </c>
      <c r="M87" s="5" t="s">
        <v>933</v>
      </c>
      <c r="N87" s="5" t="s">
        <v>472</v>
      </c>
      <c r="O87" s="5" t="s">
        <v>174</v>
      </c>
      <c r="P87" s="5" t="s">
        <v>9</v>
      </c>
      <c r="XFD87"/>
    </row>
    <row r="88" spans="1:16 16384:16384" s="5" customFormat="1">
      <c r="A88" s="5" t="s">
        <v>945</v>
      </c>
      <c r="B88" s="5" t="s">
        <v>1708</v>
      </c>
      <c r="C88" s="5" t="s">
        <v>1197</v>
      </c>
      <c r="D88" s="5">
        <v>138391</v>
      </c>
      <c r="E88" s="5" t="s">
        <v>65</v>
      </c>
      <c r="F88" s="6">
        <v>42719</v>
      </c>
      <c r="G88" s="5" t="s">
        <v>222</v>
      </c>
      <c r="H88" s="5" t="s">
        <v>214</v>
      </c>
      <c r="I88" s="5" t="s">
        <v>215</v>
      </c>
      <c r="J88" s="5" t="s">
        <v>0</v>
      </c>
      <c r="K88" s="5" t="s">
        <v>1</v>
      </c>
      <c r="L88" s="5" t="s">
        <v>2</v>
      </c>
      <c r="M88" s="5" t="s">
        <v>933</v>
      </c>
      <c r="N88" s="5" t="s">
        <v>689</v>
      </c>
      <c r="O88" s="5" t="s">
        <v>174</v>
      </c>
      <c r="P88" s="5" t="s">
        <v>9</v>
      </c>
      <c r="XFD88"/>
    </row>
    <row r="89" spans="1:16 16384:16384" s="5" customFormat="1">
      <c r="A89" s="5" t="s">
        <v>945</v>
      </c>
      <c r="B89" s="5" t="s">
        <v>1709</v>
      </c>
      <c r="C89" s="5" t="s">
        <v>1197</v>
      </c>
      <c r="D89" s="5">
        <v>155814</v>
      </c>
      <c r="E89" s="5" t="s">
        <v>24</v>
      </c>
      <c r="F89" s="6">
        <v>42719</v>
      </c>
      <c r="G89" s="5" t="s">
        <v>714</v>
      </c>
      <c r="H89" s="5" t="s">
        <v>214</v>
      </c>
      <c r="I89" s="5" t="s">
        <v>215</v>
      </c>
      <c r="J89" s="5" t="s">
        <v>0</v>
      </c>
      <c r="K89" s="5" t="s">
        <v>1</v>
      </c>
      <c r="L89" s="5" t="s">
        <v>2</v>
      </c>
      <c r="M89" s="5" t="s">
        <v>933</v>
      </c>
      <c r="N89" s="5" t="s">
        <v>715</v>
      </c>
      <c r="O89" s="5" t="s">
        <v>174</v>
      </c>
      <c r="P89" s="5" t="s">
        <v>9</v>
      </c>
      <c r="XFD89"/>
    </row>
    <row r="90" spans="1:16 16384:16384" s="5" customFormat="1">
      <c r="A90" s="5" t="s">
        <v>945</v>
      </c>
      <c r="B90" s="5" t="s">
        <v>1710</v>
      </c>
      <c r="C90" s="5" t="s">
        <v>1197</v>
      </c>
      <c r="D90" s="5">
        <v>161326</v>
      </c>
      <c r="E90" s="5" t="s">
        <v>24</v>
      </c>
      <c r="F90" s="6">
        <v>42719</v>
      </c>
      <c r="G90" s="5" t="s">
        <v>716</v>
      </c>
      <c r="H90" s="5" t="s">
        <v>171</v>
      </c>
      <c r="I90" s="5" t="s">
        <v>172</v>
      </c>
      <c r="J90" s="5" t="s">
        <v>0</v>
      </c>
      <c r="K90" s="5" t="s">
        <v>1</v>
      </c>
      <c r="L90" s="5" t="s">
        <v>2</v>
      </c>
      <c r="M90" s="5" t="s">
        <v>933</v>
      </c>
      <c r="N90" s="5" t="s">
        <v>717</v>
      </c>
      <c r="O90" s="5" t="s">
        <v>174</v>
      </c>
      <c r="P90" s="5" t="s">
        <v>9</v>
      </c>
      <c r="XFD90"/>
    </row>
    <row r="91" spans="1:16 16384:16384" s="5" customFormat="1">
      <c r="A91" s="5" t="s">
        <v>945</v>
      </c>
      <c r="B91" s="5" t="s">
        <v>1711</v>
      </c>
      <c r="C91" s="5" t="s">
        <v>1197</v>
      </c>
      <c r="D91" s="5">
        <v>164294</v>
      </c>
      <c r="E91" s="5" t="s">
        <v>24</v>
      </c>
      <c r="F91" s="6">
        <v>42719</v>
      </c>
      <c r="G91" s="5" t="s">
        <v>714</v>
      </c>
      <c r="H91" s="5" t="s">
        <v>171</v>
      </c>
      <c r="I91" s="5" t="s">
        <v>172</v>
      </c>
      <c r="J91" s="5" t="s">
        <v>0</v>
      </c>
      <c r="K91" s="5" t="s">
        <v>1</v>
      </c>
      <c r="L91" s="5" t="s">
        <v>2</v>
      </c>
      <c r="M91" s="5" t="s">
        <v>933</v>
      </c>
      <c r="N91" s="5" t="s">
        <v>720</v>
      </c>
      <c r="O91" s="5" t="s">
        <v>174</v>
      </c>
      <c r="P91" s="5" t="s">
        <v>9</v>
      </c>
      <c r="XFD91"/>
    </row>
    <row r="92" spans="1:16 16384:16384" s="5" customFormat="1">
      <c r="A92" s="5" t="s">
        <v>945</v>
      </c>
      <c r="B92" s="5" t="s">
        <v>1712</v>
      </c>
      <c r="C92" s="5" t="s">
        <v>1197</v>
      </c>
      <c r="D92" s="5">
        <v>164334</v>
      </c>
      <c r="E92" s="5" t="s">
        <v>65</v>
      </c>
      <c r="F92" s="6">
        <v>42719</v>
      </c>
      <c r="G92" s="5" t="s">
        <v>222</v>
      </c>
      <c r="H92" s="5" t="s">
        <v>214</v>
      </c>
      <c r="I92" s="5" t="s">
        <v>215</v>
      </c>
      <c r="J92" s="5" t="s">
        <v>0</v>
      </c>
      <c r="K92" s="5" t="s">
        <v>1</v>
      </c>
      <c r="L92" s="5" t="s">
        <v>2</v>
      </c>
      <c r="M92" s="5" t="s">
        <v>933</v>
      </c>
      <c r="N92" s="5" t="s">
        <v>721</v>
      </c>
      <c r="O92" s="5" t="s">
        <v>174</v>
      </c>
      <c r="P92" s="5" t="s">
        <v>9</v>
      </c>
      <c r="XFD92"/>
    </row>
    <row r="93" spans="1:16 16384:16384" s="5" customFormat="1">
      <c r="A93" s="5" t="s">
        <v>945</v>
      </c>
      <c r="B93" s="5" t="s">
        <v>1713</v>
      </c>
      <c r="C93" s="5" t="s">
        <v>1197</v>
      </c>
      <c r="D93" s="5">
        <v>164342</v>
      </c>
      <c r="E93" s="5" t="s">
        <v>3</v>
      </c>
      <c r="F93" s="6">
        <v>42719</v>
      </c>
      <c r="G93" s="5" t="s">
        <v>722</v>
      </c>
      <c r="H93" s="5" t="s">
        <v>171</v>
      </c>
      <c r="I93" s="5" t="s">
        <v>172</v>
      </c>
      <c r="J93" s="5" t="s">
        <v>0</v>
      </c>
      <c r="K93" s="5" t="s">
        <v>1</v>
      </c>
      <c r="L93" s="5" t="s">
        <v>2</v>
      </c>
      <c r="M93" s="5" t="s">
        <v>933</v>
      </c>
      <c r="N93" s="5" t="s">
        <v>723</v>
      </c>
      <c r="O93" s="5" t="s">
        <v>174</v>
      </c>
      <c r="P93" s="5" t="s">
        <v>9</v>
      </c>
      <c r="XFD93"/>
    </row>
    <row r="94" spans="1:16 16384:16384" s="5" customFormat="1">
      <c r="A94" s="5" t="s">
        <v>945</v>
      </c>
      <c r="B94" s="5" t="s">
        <v>1714</v>
      </c>
      <c r="C94" s="5" t="s">
        <v>1197</v>
      </c>
      <c r="D94" s="5">
        <v>164378</v>
      </c>
      <c r="E94" s="5" t="s">
        <v>24</v>
      </c>
      <c r="F94" s="6">
        <v>42719</v>
      </c>
      <c r="G94" s="5" t="s">
        <v>724</v>
      </c>
      <c r="H94" s="5" t="s">
        <v>171</v>
      </c>
      <c r="I94" s="5" t="s">
        <v>172</v>
      </c>
      <c r="J94" s="5" t="s">
        <v>0</v>
      </c>
      <c r="K94" s="5" t="s">
        <v>1</v>
      </c>
      <c r="L94" s="5" t="s">
        <v>2</v>
      </c>
      <c r="M94" s="5" t="s">
        <v>933</v>
      </c>
      <c r="N94" s="5" t="s">
        <v>725</v>
      </c>
      <c r="O94" s="5" t="s">
        <v>174</v>
      </c>
      <c r="P94" s="5" t="s">
        <v>9</v>
      </c>
      <c r="XFD94"/>
    </row>
    <row r="95" spans="1:16 16384:16384" s="5" customFormat="1">
      <c r="A95" s="5" t="s">
        <v>945</v>
      </c>
      <c r="B95" s="5" t="s">
        <v>1715</v>
      </c>
      <c r="C95" s="5" t="s">
        <v>1197</v>
      </c>
      <c r="D95" s="5">
        <v>177629</v>
      </c>
      <c r="E95" s="5" t="s">
        <v>86</v>
      </c>
      <c r="F95" s="6">
        <v>42719</v>
      </c>
      <c r="G95" s="5" t="s">
        <v>421</v>
      </c>
      <c r="H95" s="5" t="s">
        <v>214</v>
      </c>
      <c r="I95" s="5" t="s">
        <v>215</v>
      </c>
      <c r="J95" s="5" t="s">
        <v>0</v>
      </c>
      <c r="K95" s="5" t="s">
        <v>1</v>
      </c>
      <c r="L95" s="5" t="s">
        <v>2</v>
      </c>
      <c r="M95" s="5" t="s">
        <v>933</v>
      </c>
      <c r="N95" s="5" t="s">
        <v>732</v>
      </c>
      <c r="O95" s="5" t="s">
        <v>174</v>
      </c>
      <c r="P95" s="5" t="s">
        <v>9</v>
      </c>
      <c r="XFD95"/>
    </row>
    <row r="96" spans="1:16 16384:16384" s="5" customFormat="1">
      <c r="A96" s="5" t="s">
        <v>945</v>
      </c>
      <c r="B96" s="5" t="s">
        <v>1716</v>
      </c>
      <c r="C96" s="5" t="s">
        <v>1197</v>
      </c>
      <c r="D96" s="5">
        <v>177665</v>
      </c>
      <c r="E96" s="5" t="s">
        <v>3</v>
      </c>
      <c r="F96" s="6">
        <v>42719</v>
      </c>
      <c r="G96" s="5" t="s">
        <v>733</v>
      </c>
      <c r="H96" s="5" t="s">
        <v>171</v>
      </c>
      <c r="I96" s="5" t="s">
        <v>172</v>
      </c>
      <c r="J96" s="5" t="s">
        <v>0</v>
      </c>
      <c r="K96" s="5" t="s">
        <v>1</v>
      </c>
      <c r="L96" s="5" t="s">
        <v>2</v>
      </c>
      <c r="M96" s="5" t="s">
        <v>933</v>
      </c>
      <c r="N96" s="5" t="s">
        <v>734</v>
      </c>
      <c r="O96" s="5" t="s">
        <v>174</v>
      </c>
      <c r="P96" s="5" t="s">
        <v>9</v>
      </c>
      <c r="XFD96"/>
    </row>
    <row r="97" spans="1:16 16384:16384" s="5" customFormat="1">
      <c r="A97" s="5" t="s">
        <v>945</v>
      </c>
      <c r="B97" s="5" t="s">
        <v>1717</v>
      </c>
      <c r="C97" s="5" t="s">
        <v>1197</v>
      </c>
      <c r="D97" s="5">
        <v>177697</v>
      </c>
      <c r="E97" s="5" t="s">
        <v>86</v>
      </c>
      <c r="F97" s="6">
        <v>42719</v>
      </c>
      <c r="G97" s="5" t="s">
        <v>440</v>
      </c>
      <c r="H97" s="5" t="s">
        <v>214</v>
      </c>
      <c r="I97" s="5" t="s">
        <v>215</v>
      </c>
      <c r="J97" s="5" t="s">
        <v>0</v>
      </c>
      <c r="K97" s="5" t="s">
        <v>1</v>
      </c>
      <c r="L97" s="5" t="s">
        <v>2</v>
      </c>
      <c r="M97" s="5" t="s">
        <v>933</v>
      </c>
      <c r="N97" s="5" t="s">
        <v>737</v>
      </c>
      <c r="O97" s="5" t="s">
        <v>174</v>
      </c>
      <c r="P97" s="5" t="s">
        <v>9</v>
      </c>
      <c r="XFD97"/>
    </row>
    <row r="98" spans="1:16 16384:16384" s="5" customFormat="1">
      <c r="A98" s="5" t="s">
        <v>945</v>
      </c>
      <c r="B98" s="5" t="s">
        <v>1718</v>
      </c>
      <c r="C98" s="5" t="s">
        <v>1197</v>
      </c>
      <c r="D98" s="5">
        <v>177753</v>
      </c>
      <c r="E98" s="5" t="s">
        <v>24</v>
      </c>
      <c r="F98" s="6">
        <v>42719</v>
      </c>
      <c r="G98" s="5" t="s">
        <v>437</v>
      </c>
      <c r="H98" s="5" t="s">
        <v>171</v>
      </c>
      <c r="I98" s="5" t="s">
        <v>172</v>
      </c>
      <c r="J98" s="5" t="s">
        <v>0</v>
      </c>
      <c r="K98" s="5" t="s">
        <v>1</v>
      </c>
      <c r="L98" s="5" t="s">
        <v>2</v>
      </c>
      <c r="M98" s="5" t="s">
        <v>933</v>
      </c>
      <c r="N98" s="5" t="s">
        <v>738</v>
      </c>
      <c r="O98" s="5" t="s">
        <v>174</v>
      </c>
      <c r="P98" s="5" t="s">
        <v>9</v>
      </c>
      <c r="XFD98"/>
    </row>
    <row r="99" spans="1:16 16384:16384" s="5" customFormat="1">
      <c r="A99" s="5" t="s">
        <v>945</v>
      </c>
      <c r="B99" s="5" t="s">
        <v>1719</v>
      </c>
      <c r="C99" s="5" t="s">
        <v>1197</v>
      </c>
      <c r="D99" s="5">
        <v>177757</v>
      </c>
      <c r="E99" s="5" t="s">
        <v>24</v>
      </c>
      <c r="F99" s="6">
        <v>42719</v>
      </c>
      <c r="G99" s="5" t="s">
        <v>739</v>
      </c>
      <c r="H99" s="5" t="s">
        <v>171</v>
      </c>
      <c r="I99" s="5" t="s">
        <v>172</v>
      </c>
      <c r="J99" s="5" t="s">
        <v>0</v>
      </c>
      <c r="K99" s="5" t="s">
        <v>1</v>
      </c>
      <c r="L99" s="5" t="s">
        <v>2</v>
      </c>
      <c r="M99" s="5" t="s">
        <v>933</v>
      </c>
      <c r="N99" s="5" t="s">
        <v>740</v>
      </c>
      <c r="O99" s="5" t="s">
        <v>174</v>
      </c>
      <c r="P99" s="5" t="s">
        <v>9</v>
      </c>
      <c r="XFD99"/>
    </row>
    <row r="100" spans="1:16 16384:16384" s="5" customFormat="1">
      <c r="A100" s="5" t="s">
        <v>945</v>
      </c>
      <c r="B100" s="5" t="s">
        <v>1720</v>
      </c>
      <c r="C100" s="5" t="s">
        <v>1197</v>
      </c>
      <c r="D100" s="5">
        <v>177763</v>
      </c>
      <c r="E100" s="5" t="s">
        <v>24</v>
      </c>
      <c r="F100" s="6">
        <v>42719</v>
      </c>
      <c r="G100" s="5" t="s">
        <v>741</v>
      </c>
      <c r="H100" s="5" t="s">
        <v>195</v>
      </c>
      <c r="I100" s="5" t="s">
        <v>196</v>
      </c>
      <c r="J100" s="5" t="s">
        <v>0</v>
      </c>
      <c r="K100" s="5" t="s">
        <v>1</v>
      </c>
      <c r="L100" s="5" t="s">
        <v>2</v>
      </c>
      <c r="M100" s="5" t="s">
        <v>933</v>
      </c>
      <c r="N100" s="5" t="s">
        <v>742</v>
      </c>
      <c r="O100" s="5" t="s">
        <v>174</v>
      </c>
      <c r="P100" s="5" t="s">
        <v>9</v>
      </c>
      <c r="XFD100"/>
    </row>
    <row r="101" spans="1:16 16384:16384" s="5" customFormat="1">
      <c r="A101" s="5" t="s">
        <v>945</v>
      </c>
      <c r="B101" s="5" t="s">
        <v>1721</v>
      </c>
      <c r="C101" s="5" t="s">
        <v>1197</v>
      </c>
      <c r="D101" s="5">
        <v>177817</v>
      </c>
      <c r="E101" s="5" t="s">
        <v>86</v>
      </c>
      <c r="F101" s="6">
        <v>42719</v>
      </c>
      <c r="G101" s="5" t="s">
        <v>451</v>
      </c>
      <c r="H101" s="5" t="s">
        <v>214</v>
      </c>
      <c r="I101" s="5" t="s">
        <v>215</v>
      </c>
      <c r="J101" s="5" t="s">
        <v>0</v>
      </c>
      <c r="K101" s="5" t="s">
        <v>1</v>
      </c>
      <c r="L101" s="5" t="s">
        <v>2</v>
      </c>
      <c r="M101" s="5" t="s">
        <v>933</v>
      </c>
      <c r="N101" s="5" t="s">
        <v>743</v>
      </c>
      <c r="O101" s="5" t="s">
        <v>174</v>
      </c>
      <c r="P101" s="5" t="s">
        <v>9</v>
      </c>
      <c r="XFD101"/>
    </row>
    <row r="102" spans="1:16 16384:16384" s="5" customFormat="1">
      <c r="A102" s="5" t="s">
        <v>945</v>
      </c>
      <c r="B102" s="5" t="s">
        <v>1722</v>
      </c>
      <c r="C102" s="5" t="s">
        <v>1197</v>
      </c>
      <c r="D102" s="5">
        <v>177865</v>
      </c>
      <c r="E102" s="5" t="s">
        <v>65</v>
      </c>
      <c r="F102" s="6">
        <v>42719</v>
      </c>
      <c r="G102" s="5" t="s">
        <v>222</v>
      </c>
      <c r="H102" s="5" t="s">
        <v>214</v>
      </c>
      <c r="I102" s="5" t="s">
        <v>215</v>
      </c>
      <c r="J102" s="5" t="s">
        <v>0</v>
      </c>
      <c r="K102" s="5" t="s">
        <v>1</v>
      </c>
      <c r="L102" s="5" t="s">
        <v>2</v>
      </c>
      <c r="M102" s="5" t="s">
        <v>933</v>
      </c>
      <c r="N102" s="5" t="s">
        <v>746</v>
      </c>
      <c r="O102" s="5" t="s">
        <v>174</v>
      </c>
      <c r="P102" s="5" t="s">
        <v>9</v>
      </c>
      <c r="XFD102"/>
    </row>
    <row r="103" spans="1:16 16384:16384" s="5" customFormat="1">
      <c r="A103" s="5" t="s">
        <v>945</v>
      </c>
      <c r="B103" s="5" t="s">
        <v>1723</v>
      </c>
      <c r="C103" s="5" t="s">
        <v>1197</v>
      </c>
      <c r="D103" s="5">
        <v>188628</v>
      </c>
      <c r="E103" s="5" t="s">
        <v>65</v>
      </c>
      <c r="F103" s="6">
        <v>42719</v>
      </c>
      <c r="G103" s="5" t="s">
        <v>222</v>
      </c>
      <c r="H103" s="5" t="s">
        <v>214</v>
      </c>
      <c r="I103" s="5" t="s">
        <v>215</v>
      </c>
      <c r="J103" s="5" t="s">
        <v>0</v>
      </c>
      <c r="K103" s="5" t="s">
        <v>1</v>
      </c>
      <c r="L103" s="5" t="s">
        <v>2</v>
      </c>
      <c r="M103" s="5" t="s">
        <v>933</v>
      </c>
      <c r="N103" s="5" t="s">
        <v>782</v>
      </c>
      <c r="O103" s="5" t="s">
        <v>174</v>
      </c>
      <c r="P103" s="5" t="s">
        <v>9</v>
      </c>
      <c r="XFD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READ.ME</vt:lpstr>
      <vt:lpstr>Master</vt:lpstr>
      <vt:lpstr>VCEP-Lookup</vt:lpstr>
      <vt:lpstr>VCEP-Reports</vt:lpstr>
      <vt:lpstr>Master-20181129</vt:lpstr>
      <vt:lpstr>PAH</vt:lpstr>
      <vt:lpstr>HL</vt:lpstr>
      <vt:lpstr>RAS</vt:lpstr>
      <vt:lpstr>PTEN</vt:lpstr>
      <vt:lpstr>CARDIO</vt:lpstr>
      <vt:lpstr>MasterLookup</vt:lpstr>
      <vt:lpstr>Source</vt:lpstr>
      <vt:lpstr>VCEPReports</vt:lpstr>
      <vt:lpstr>VCEPs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Harrison, Steven Michael,Ph.D.</dc:creator>
  <cp:lastModifiedBy>Lawrence Babb</cp:lastModifiedBy>
  <dcterms:created xsi:type="dcterms:W3CDTF">2018-11-29T14:36:08Z</dcterms:created>
  <dcterms:modified xsi:type="dcterms:W3CDTF">2018-12-19T20:39:43Z</dcterms:modified>
</cp:coreProperties>
</file>